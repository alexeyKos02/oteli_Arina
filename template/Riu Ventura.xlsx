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iu Ven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6"/>
    </font>
    <font>
      <name val="Calibri"/>
      <sz val="14"/>
    </font>
    <font>
      <name val="Calibri"/>
      <sz val="13"/>
    </font>
    <font>
      <name val="Calibri"/>
      <b val="1"/>
      <sz val="11"/>
    </font>
    <font>
      <name val="Calibri"/>
      <charset val="204"/>
      <family val="2"/>
      <sz val="11"/>
    </font>
  </fonts>
  <fills count="23">
    <fill>
      <patternFill/>
    </fill>
    <fill>
      <patternFill patternType="gray125"/>
    </fill>
    <fill>
      <patternFill patternType="solid"/>
    </fill>
    <fill>
      <patternFill patternType="solid">
        <fgColor rgb="FF87CEFA"/>
      </patternFill>
    </fill>
    <fill>
      <patternFill patternType="darkUp">
        <fgColor rgb="FFF0F8FF"/>
      </patternFill>
    </fill>
    <fill>
      <patternFill patternType="darkUp">
        <fgColor rgb="FFFFF0F5"/>
      </patternFill>
    </fill>
    <fill>
      <patternFill patternType="darkUp">
        <fgColor rgb="FFE0FFFF"/>
      </patternFill>
    </fill>
    <fill>
      <patternFill patternType="darkUp">
        <fgColor rgb="FFF5DEB3"/>
      </patternFill>
    </fill>
    <fill>
      <patternFill patternType="darkUp">
        <fgColor rgb="FFE6E6FA"/>
      </patternFill>
    </fill>
    <fill>
      <patternFill patternType="darkUp">
        <fgColor rgb="FFFFE4E1"/>
      </patternFill>
    </fill>
    <fill>
      <patternFill patternType="solid">
        <fgColor rgb="FFF5DEB3"/>
      </patternFill>
    </fill>
    <fill>
      <patternFill patternType="solid">
        <fgColor rgb="FFE6E6FA"/>
      </patternFill>
    </fill>
    <fill>
      <patternFill patternType="solid">
        <fgColor rgb="FFFFE4E1"/>
      </patternFill>
    </fill>
    <fill>
      <patternFill patternType="solid">
        <fgColor rgb="FFB0E0E6"/>
      </patternFill>
    </fill>
    <fill>
      <patternFill patternType="solid">
        <fgColor rgb="FFFFFF00"/>
        <bgColor indexed="64"/>
      </patternFill>
    </fill>
    <fill>
      <patternFill patternType="darkUp">
        <fgColor rgb="FFF0F8FF"/>
        <bgColor rgb="FFFFFF00"/>
      </patternFill>
    </fill>
    <fill>
      <patternFill patternType="darkUp">
        <fgColor rgb="FFFFF0F5"/>
        <bgColor rgb="FFFFFF00"/>
      </patternFill>
    </fill>
    <fill>
      <patternFill patternType="darkUp">
        <fgColor rgb="FFE0FFFF"/>
        <bgColor rgb="FFFFFF00"/>
      </patternFill>
    </fill>
    <fill>
      <patternFill patternType="darkUp">
        <fgColor rgb="FFFFE4E1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darkUp">
        <fgColor rgb="FFFFF0F5"/>
        <bgColor theme="0"/>
      </patternFill>
    </fill>
    <fill>
      <patternFill patternType="solid">
        <fgColor theme="0"/>
      </patternFill>
    </fill>
  </fills>
  <borders count="3">
    <border>
      <left/>
      <right/>
      <top/>
      <bottom/>
      <diagonal/>
    </border>
    <border>
      <left/>
      <right style="dashed">
        <color rgb="FF2F4F4F"/>
      </right>
      <top/>
      <bottom style="dashed">
        <color rgb="FF2F4F4F"/>
      </bottom>
      <diagonal/>
    </border>
    <border>
      <left/>
      <right style="dashed">
        <color rgb="FF2F4F4F"/>
      </right>
      <top style="dashed">
        <color rgb="FF2F4F4F"/>
      </top>
      <bottom style="dashed">
        <color rgb="FF2F4F4F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4" fillId="0" borderId="0"/>
  </cellStyleXfs>
  <cellXfs count="47">
    <xf numFmtId="0" fontId="0" fillId="0" borderId="0" pivotButton="0" quotePrefix="0" xfId="0"/>
    <xf numFmtId="0" fontId="4" fillId="0" borderId="0" pivotButton="0" quotePrefix="0" xfId="4"/>
    <xf numFmtId="0" fontId="4" fillId="0" borderId="0" pivotButton="0" quotePrefix="0" xfId="5"/>
    <xf numFmtId="0" fontId="1" fillId="3" borderId="0" pivotButton="0" quotePrefix="0" xfId="1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1" borderId="1" pivotButton="0" quotePrefix="0" xfId="0"/>
    <xf numFmtId="0" fontId="0" fillId="11" borderId="2" pivotButton="0" quotePrefix="0" xfId="0"/>
    <xf numFmtId="0" fontId="0" fillId="2" borderId="2" pivotButton="0" quotePrefix="0" xfId="0"/>
    <xf numFmtId="0" fontId="0" fillId="2" borderId="1" pivotButton="0" quotePrefix="0" xfId="0"/>
    <xf numFmtId="0" fontId="0" fillId="12" borderId="1" pivotButton="0" quotePrefix="0" xfId="0"/>
    <xf numFmtId="0" fontId="0" fillId="12" borderId="2" pivotButton="0" quotePrefix="0" xfId="0"/>
    <xf numFmtId="0" fontId="0" fillId="10" borderId="1" pivotButton="0" quotePrefix="0" xfId="0"/>
    <xf numFmtId="0" fontId="0" fillId="10" borderId="2" pivotButton="0" quotePrefix="0" xfId="0"/>
    <xf numFmtId="0" fontId="2" fillId="13" borderId="0" pivotButton="0" quotePrefix="0" xfId="2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7" borderId="0" pivotButton="0" quotePrefix="0" xfId="5"/>
    <xf numFmtId="0" fontId="4" fillId="8" borderId="0" pivotButton="0" quotePrefix="0" xfId="5"/>
    <xf numFmtId="0" fontId="4" fillId="9" borderId="0" pivotButton="0" quotePrefix="0" xfId="5"/>
    <xf numFmtId="0" fontId="4" fillId="14" borderId="0" pivotButton="0" quotePrefix="0" xfId="5"/>
    <xf numFmtId="0" fontId="0" fillId="15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0" fillId="18" borderId="0" pivotButton="0" quotePrefix="0" xfId="0"/>
    <xf numFmtId="0" fontId="0" fillId="14" borderId="0" pivotButton="0" quotePrefix="0" xfId="0"/>
    <xf numFmtId="0" fontId="0" fillId="19" borderId="2" pivotButton="0" quotePrefix="0" xfId="0"/>
    <xf numFmtId="0" fontId="0" fillId="19" borderId="1" pivotButton="0" quotePrefix="0" xfId="0"/>
    <xf numFmtId="0" fontId="5" fillId="0" borderId="0" pivotButton="0" quotePrefix="0" xfId="0"/>
    <xf numFmtId="0" fontId="4" fillId="4" borderId="0" applyAlignment="1" pivotButton="0" quotePrefix="0" xfId="5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5">
      <alignment horizontal="center"/>
    </xf>
    <xf numFmtId="0" fontId="0" fillId="5" borderId="0" applyAlignment="1" pivotButton="0" quotePrefix="0" xfId="0">
      <alignment horizontal="center"/>
    </xf>
    <xf numFmtId="0" fontId="4" fillId="6" borderId="0" applyAlignment="1" pivotButton="0" quotePrefix="0" xfId="5">
      <alignment horizontal="center"/>
    </xf>
    <xf numFmtId="0" fontId="0" fillId="6" borderId="0" applyAlignment="1" pivotButton="0" quotePrefix="0" xfId="0">
      <alignment horizontal="center"/>
    </xf>
    <xf numFmtId="0" fontId="0" fillId="20" borderId="0" pivotButton="0" quotePrefix="0" xfId="0"/>
    <xf numFmtId="0" fontId="0" fillId="21" borderId="0" pivotButton="0" quotePrefix="0" xfId="0"/>
    <xf numFmtId="0" fontId="0" fillId="22" borderId="1" pivotButton="0" quotePrefix="0" xfId="0"/>
    <xf numFmtId="0" fontId="0" fillId="22" borderId="2" pivotButton="0" quotePrefix="0" xfId="0"/>
    <xf numFmtId="0" fontId="0" fillId="20" borderId="2" pivotButton="0" quotePrefix="0" xfId="0"/>
    <xf numFmtId="0" fontId="0" fillId="20" borderId="1" pivotButton="0" quotePrefix="0" xfId="0"/>
  </cellXfs>
  <cellStyles count="6">
    <cellStyle name="Обычный" xfId="0" builtinId="0"/>
    <cellStyle name="Heading1" xfId="1"/>
    <cellStyle name="Heading2" xfId="2"/>
    <cellStyle name="Heading3" xfId="3"/>
    <cellStyle name="Heading4" xfId="4"/>
    <cellStyle name="ColumnHeader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5"/>
  <sheetViews>
    <sheetView tabSelected="1" topLeftCell="A217" zoomScale="75" workbookViewId="0">
      <selection activeCell="G227" sqref="G227"/>
    </sheetView>
  </sheetViews>
  <sheetFormatPr baseColWidth="8" defaultRowHeight="14.4"/>
  <cols>
    <col width="22.5546875" customWidth="1" min="1" max="1"/>
  </cols>
  <sheetData>
    <row r="1">
      <c r="A1" t="inlineStr">
        <is>
          <t>Hotel</t>
        </is>
      </c>
      <c r="B1" s="34" t="inlineStr">
        <is>
          <t>Riu Ventura</t>
        </is>
      </c>
    </row>
    <row r="2">
      <c r="A2" t="inlineStr">
        <is>
          <t>Currency</t>
        </is>
      </c>
      <c r="B2" t="inlineStr">
        <is>
          <t>USD</t>
        </is>
      </c>
    </row>
    <row r="3"/>
    <row r="4" ht="21" customHeight="1">
      <c r="A4" s="3" t="inlineStr">
        <is>
          <t>Room</t>
        </is>
      </c>
      <c r="B4" s="4" t="inlineStr">
        <is>
          <t>Double Standard Handicapped (DBSM)</t>
        </is>
      </c>
      <c r="C4" s="4" t="inlineStr">
        <is>
          <t>Standard</t>
        </is>
      </c>
    </row>
    <row r="5"/>
    <row r="6">
      <c r="I6" s="1" t="inlineStr">
        <is>
          <t>Bed prices</t>
        </is>
      </c>
      <c r="K6" s="10" t="inlineStr">
        <is>
          <t>All  Inclusive</t>
        </is>
      </c>
      <c r="M6" s="8" t="inlineStr">
        <is>
          <t>All  Inclusive</t>
        </is>
      </c>
      <c r="O6" s="9" t="inlineStr">
        <is>
          <t>All  Inclusive</t>
        </is>
      </c>
      <c r="Q6" s="10" t="inlineStr">
        <is>
          <t>All  Inclusive</t>
        </is>
      </c>
      <c r="S6" s="8" t="inlineStr">
        <is>
          <t>All  Inclusive</t>
        </is>
      </c>
      <c r="U6" s="9" t="inlineStr">
        <is>
          <t>All  Inclusive</t>
        </is>
      </c>
      <c r="W6" s="10" t="inlineStr">
        <is>
          <t>All  Inclusive</t>
        </is>
      </c>
      <c r="Y6" s="8" t="inlineStr">
        <is>
          <t>All  Inclusive</t>
        </is>
      </c>
    </row>
    <row r="7">
      <c r="I7" s="5" t="inlineStr">
        <is>
          <t>Adult</t>
        </is>
      </c>
      <c r="J7" s="5" t="inlineStr">
        <is>
          <t>MB</t>
        </is>
      </c>
      <c r="K7" s="16" t="n"/>
      <c r="L7" s="13" t="n"/>
      <c r="M7" s="18" t="n"/>
      <c r="N7" s="13" t="n"/>
      <c r="O7" s="12" t="n"/>
      <c r="P7" s="13" t="n"/>
      <c r="Q7" s="16" t="n"/>
      <c r="R7" s="13" t="n"/>
      <c r="S7" s="18" t="n"/>
      <c r="T7" s="13" t="n"/>
      <c r="U7" s="12" t="n"/>
      <c r="V7" s="13" t="n"/>
      <c r="W7" s="16" t="n"/>
      <c r="X7" s="13" t="n"/>
      <c r="Y7" s="18" t="n"/>
    </row>
    <row r="8">
      <c r="I8" s="5" t="n"/>
      <c r="J8" s="5" t="inlineStr">
        <is>
          <t>ExB</t>
        </is>
      </c>
      <c r="K8" s="15" t="n"/>
      <c r="L8" s="14" t="n"/>
      <c r="M8" s="17" t="n"/>
      <c r="N8" s="14" t="n"/>
      <c r="O8" s="11" t="n"/>
      <c r="P8" s="14" t="n"/>
      <c r="Q8" s="15" t="n"/>
      <c r="R8" s="14" t="n"/>
      <c r="S8" s="17" t="n"/>
      <c r="T8" s="14" t="n"/>
      <c r="U8" s="11" t="n"/>
      <c r="V8" s="14" t="n"/>
      <c r="W8" s="15" t="n"/>
      <c r="X8" s="14" t="n"/>
      <c r="Y8" s="17" t="n"/>
    </row>
    <row r="9">
      <c r="I9" s="5" t="n"/>
      <c r="J9" s="5" t="inlineStr">
        <is>
          <t>W/oB</t>
        </is>
      </c>
      <c r="K9" s="15" t="n"/>
      <c r="L9" s="14" t="n"/>
      <c r="M9" s="17" t="n"/>
      <c r="N9" s="14" t="n"/>
      <c r="O9" s="11" t="n"/>
      <c r="P9" s="14" t="n"/>
      <c r="Q9" s="15" t="n"/>
      <c r="R9" s="14" t="n"/>
      <c r="S9" s="17" t="n"/>
      <c r="T9" s="14" t="n"/>
      <c r="U9" s="11" t="n"/>
      <c r="V9" s="14" t="n"/>
      <c r="W9" s="15" t="n"/>
      <c r="X9" s="14" t="n"/>
      <c r="Y9" s="17" t="n"/>
    </row>
    <row r="10">
      <c r="I10" s="6" t="inlineStr">
        <is>
          <t>Child 2-12</t>
        </is>
      </c>
      <c r="J10" s="6" t="inlineStr">
        <is>
          <t>MB</t>
        </is>
      </c>
      <c r="K10" s="15" t="n"/>
      <c r="L10" s="14" t="n"/>
      <c r="M10" s="17" t="n"/>
      <c r="N10" s="14" t="n"/>
      <c r="O10" s="11" t="n"/>
      <c r="P10" s="14" t="n"/>
      <c r="Q10" s="15" t="n"/>
      <c r="R10" s="14" t="n"/>
      <c r="S10" s="17" t="n"/>
      <c r="T10" s="14" t="n"/>
      <c r="U10" s="11" t="n"/>
      <c r="V10" s="14" t="n"/>
      <c r="W10" s="15" t="n"/>
      <c r="X10" s="14" t="n"/>
      <c r="Y10" s="17" t="n"/>
    </row>
    <row r="11">
      <c r="I11" s="6" t="n"/>
      <c r="J11" s="6" t="inlineStr">
        <is>
          <t>ExB</t>
        </is>
      </c>
      <c r="K11" s="15" t="n"/>
      <c r="L11" s="14" t="n"/>
      <c r="M11" s="17" t="n"/>
      <c r="N11" s="14" t="n"/>
      <c r="O11" s="11" t="n"/>
      <c r="P11" s="14" t="n"/>
      <c r="Q11" s="15" t="n"/>
      <c r="R11" s="14" t="n"/>
      <c r="S11" s="17" t="n"/>
      <c r="T11" s="14" t="n"/>
      <c r="U11" s="11" t="n"/>
      <c r="V11" s="14" t="n"/>
      <c r="W11" s="15" t="n"/>
      <c r="X11" s="14" t="n"/>
      <c r="Y11" s="17" t="n"/>
    </row>
    <row r="12">
      <c r="I12" s="6" t="n"/>
      <c r="J12" s="6" t="inlineStr">
        <is>
          <t>W/oB</t>
        </is>
      </c>
      <c r="K12" s="15" t="n"/>
      <c r="L12" s="14" t="n"/>
      <c r="M12" s="17" t="n"/>
      <c r="N12" s="14" t="n"/>
      <c r="O12" s="11" t="n"/>
      <c r="P12" s="14" t="n"/>
      <c r="Q12" s="15" t="n"/>
      <c r="R12" s="14" t="n"/>
      <c r="S12" s="17" t="n"/>
      <c r="T12" s="14" t="n"/>
      <c r="U12" s="11" t="n"/>
      <c r="V12" s="14" t="n"/>
      <c r="W12" s="15" t="n"/>
      <c r="X12" s="14" t="n"/>
      <c r="Y12" s="17" t="n"/>
    </row>
    <row r="13">
      <c r="I13" s="7" t="inlineStr">
        <is>
          <t>Infant 0-1</t>
        </is>
      </c>
      <c r="J13" s="7" t="inlineStr">
        <is>
          <t>MB</t>
        </is>
      </c>
      <c r="K13" s="15" t="n"/>
      <c r="L13" s="14" t="n"/>
      <c r="M13" s="17" t="n"/>
      <c r="N13" s="14" t="n"/>
      <c r="O13" s="11" t="n"/>
      <c r="P13" s="14" t="n"/>
      <c r="Q13" s="15" t="n"/>
      <c r="R13" s="14" t="n"/>
      <c r="S13" s="17" t="n"/>
      <c r="T13" s="14" t="n"/>
      <c r="U13" s="11" t="n"/>
      <c r="V13" s="14" t="n"/>
      <c r="W13" s="15" t="n"/>
      <c r="X13" s="14" t="n"/>
      <c r="Y13" s="17" t="n"/>
    </row>
    <row r="14">
      <c r="I14" s="7" t="n"/>
      <c r="J14" s="7" t="inlineStr">
        <is>
          <t>ExB</t>
        </is>
      </c>
      <c r="K14" s="15" t="n"/>
      <c r="L14" s="14" t="n"/>
      <c r="M14" s="17" t="n"/>
      <c r="N14" s="14" t="n"/>
      <c r="O14" s="11" t="n"/>
      <c r="P14" s="14" t="n"/>
      <c r="Q14" s="15" t="n"/>
      <c r="R14" s="14" t="n"/>
      <c r="S14" s="17" t="n"/>
      <c r="T14" s="14" t="n"/>
      <c r="U14" s="11" t="n"/>
      <c r="V14" s="14" t="n"/>
      <c r="W14" s="15" t="n"/>
      <c r="X14" s="14" t="n"/>
      <c r="Y14" s="17" t="n"/>
    </row>
    <row r="15">
      <c r="I15" s="7" t="n"/>
      <c r="J15" s="7" t="inlineStr">
        <is>
          <t>W/oB</t>
        </is>
      </c>
      <c r="K15" s="15" t="n"/>
      <c r="L15" s="14" t="n"/>
      <c r="M15" s="17" t="n"/>
      <c r="N15" s="14" t="n"/>
      <c r="O15" s="11" t="n"/>
      <c r="P15" s="14" t="n"/>
      <c r="Q15" s="15" t="n"/>
      <c r="R15" s="14" t="n"/>
      <c r="S15" s="17" t="n"/>
      <c r="T15" s="14" t="n"/>
      <c r="U15" s="11" t="n"/>
      <c r="V15" s="14" t="n"/>
      <c r="W15" s="15" t="n"/>
      <c r="X15" s="14" t="n"/>
      <c r="Y15" s="17" t="n"/>
    </row>
    <row r="16">
      <c r="K16" s="10" t="n"/>
      <c r="M16" s="8" t="n"/>
      <c r="O16" s="9" t="n"/>
      <c r="Q16" s="10" t="n"/>
      <c r="S16" s="8" t="n"/>
      <c r="U16" s="9" t="n"/>
      <c r="W16" s="10" t="n"/>
      <c r="Y16" s="8" t="n"/>
    </row>
    <row r="17" ht="18" customHeight="1">
      <c r="A17" s="19" t="inlineStr">
        <is>
          <t>Prices</t>
        </is>
      </c>
      <c r="B17" s="35" t="inlineStr">
        <is>
          <t>Adult</t>
        </is>
      </c>
      <c r="E17" s="37" t="inlineStr">
        <is>
          <t>Child 2-12</t>
        </is>
      </c>
      <c r="H17" s="39" t="inlineStr">
        <is>
          <t>Infant 0-1</t>
        </is>
      </c>
      <c r="K17" s="25" t="inlineStr">
        <is>
          <t>01/11/2026</t>
        </is>
      </c>
      <c r="L17" s="10" t="inlineStr">
        <is>
          <t>min stay 3</t>
        </is>
      </c>
      <c r="M17" s="23" t="inlineStr">
        <is>
          <t>24/12/2026</t>
        </is>
      </c>
      <c r="N17" s="8" t="inlineStr">
        <is>
          <t>min stay 3</t>
        </is>
      </c>
      <c r="O17" s="24" t="inlineStr">
        <is>
          <t>02/01/2027</t>
        </is>
      </c>
      <c r="P17" s="9" t="inlineStr">
        <is>
          <t>min stay 3</t>
        </is>
      </c>
      <c r="Q17" s="25" t="inlineStr">
        <is>
          <t>30/01/2027</t>
        </is>
      </c>
      <c r="R17" s="10" t="inlineStr">
        <is>
          <t>min stay 3</t>
        </is>
      </c>
      <c r="S17" s="23" t="inlineStr">
        <is>
          <t>01/04/2027</t>
        </is>
      </c>
      <c r="T17" s="8" t="inlineStr">
        <is>
          <t>min stay 3</t>
        </is>
      </c>
      <c r="U17" s="24" t="inlineStr">
        <is>
          <t>01/05/2027</t>
        </is>
      </c>
      <c r="V17" s="9" t="inlineStr">
        <is>
          <t>min stay 3</t>
        </is>
      </c>
      <c r="W17" s="25" t="inlineStr">
        <is>
          <t>10/07/2027</t>
        </is>
      </c>
      <c r="X17" s="10" t="inlineStr">
        <is>
          <t>min stay 3</t>
        </is>
      </c>
      <c r="Y17" s="23" t="inlineStr">
        <is>
          <t>21/08/2027</t>
        </is>
      </c>
      <c r="Z17" s="8" t="inlineStr">
        <is>
          <t>min stay 3</t>
        </is>
      </c>
    </row>
    <row r="18">
      <c r="B18" s="5" t="n">
        <v>13</v>
      </c>
      <c r="C18" s="5" t="n">
        <v>150</v>
      </c>
      <c r="D18" s="5" t="n"/>
      <c r="E18" s="6" t="n">
        <v>2</v>
      </c>
      <c r="F18" s="6" t="n">
        <v>12</v>
      </c>
      <c r="G18" s="6" t="n"/>
      <c r="H18" s="7" t="n">
        <v>0</v>
      </c>
      <c r="I18" s="7" t="n">
        <v>1</v>
      </c>
      <c r="J18" s="7" t="n"/>
      <c r="K18" s="25" t="inlineStr">
        <is>
          <t>23/12/2026</t>
        </is>
      </c>
      <c r="L18" s="10" t="inlineStr">
        <is>
          <t>type Contract Rate</t>
        </is>
      </c>
      <c r="M18" s="23" t="inlineStr">
        <is>
          <t>01/01/2027</t>
        </is>
      </c>
      <c r="N18" s="8" t="inlineStr">
        <is>
          <t>type Contract Rate</t>
        </is>
      </c>
      <c r="O18" s="24" t="inlineStr">
        <is>
          <t>29/01/2027</t>
        </is>
      </c>
      <c r="P18" s="9" t="inlineStr">
        <is>
          <t>type Contract Rate</t>
        </is>
      </c>
      <c r="Q18" s="25" t="inlineStr">
        <is>
          <t>31/03/2027</t>
        </is>
      </c>
      <c r="R18" s="10" t="inlineStr">
        <is>
          <t>type Contract Rate</t>
        </is>
      </c>
      <c r="S18" s="23" t="inlineStr">
        <is>
          <t>30/04/2027</t>
        </is>
      </c>
      <c r="T18" s="8" t="inlineStr">
        <is>
          <t>type Contract Rate</t>
        </is>
      </c>
      <c r="U18" s="24" t="inlineStr">
        <is>
          <t>09/07/2027</t>
        </is>
      </c>
      <c r="V18" s="9" t="inlineStr">
        <is>
          <t>type Contract Rate</t>
        </is>
      </c>
      <c r="W18" s="25" t="inlineStr">
        <is>
          <t>20/08/2027</t>
        </is>
      </c>
      <c r="X18" s="10" t="inlineStr">
        <is>
          <t>type Contract Rate</t>
        </is>
      </c>
      <c r="Y18" s="23" t="inlineStr">
        <is>
          <t>31/10/2027</t>
        </is>
      </c>
      <c r="Z18" s="8" t="inlineStr">
        <is>
          <t>type Contract Rate</t>
        </is>
      </c>
    </row>
    <row r="19">
      <c r="B19" s="36" t="inlineStr">
        <is>
          <t>MB</t>
        </is>
      </c>
      <c r="C19" s="36" t="inlineStr">
        <is>
          <t>ExB</t>
        </is>
      </c>
      <c r="D19" s="36" t="inlineStr">
        <is>
          <t>W/oB</t>
        </is>
      </c>
      <c r="E19" s="38" t="inlineStr">
        <is>
          <t>MB</t>
        </is>
      </c>
      <c r="F19" s="38" t="inlineStr">
        <is>
          <t>ExB</t>
        </is>
      </c>
      <c r="G19" s="38" t="inlineStr">
        <is>
          <t>W/oB</t>
        </is>
      </c>
      <c r="H19" s="40" t="inlineStr">
        <is>
          <t>MB</t>
        </is>
      </c>
      <c r="I19" s="40" t="inlineStr">
        <is>
          <t>ExB</t>
        </is>
      </c>
      <c r="J19" s="40" t="inlineStr">
        <is>
          <t>W/oB</t>
        </is>
      </c>
      <c r="K19" s="10" t="inlineStr">
        <is>
          <t>All  Inclusive</t>
        </is>
      </c>
      <c r="M19" s="8" t="inlineStr">
        <is>
          <t>All  Inclusive</t>
        </is>
      </c>
      <c r="O19" s="9" t="inlineStr">
        <is>
          <t>All  Inclusive</t>
        </is>
      </c>
      <c r="Q19" s="10" t="inlineStr">
        <is>
          <t>All  Inclusive</t>
        </is>
      </c>
      <c r="S19" s="8" t="inlineStr">
        <is>
          <t>All  Inclusive</t>
        </is>
      </c>
      <c r="U19" s="9" t="inlineStr">
        <is>
          <t>All  Inclusive</t>
        </is>
      </c>
      <c r="W19" s="10" t="inlineStr">
        <is>
          <t>All  Inclusive</t>
        </is>
      </c>
      <c r="Y19" s="8" t="inlineStr">
        <is>
          <t>All  Inclusive</t>
        </is>
      </c>
    </row>
    <row r="20" customFormat="1" s="31">
      <c r="A20" s="26" t="inlineStr">
        <is>
          <t>1A</t>
        </is>
      </c>
      <c r="B20" s="27" t="n">
        <v>1</v>
      </c>
      <c r="C20" s="27" t="n"/>
      <c r="D20" s="27" t="n"/>
      <c r="E20" s="28" t="n"/>
      <c r="F20" s="28" t="n"/>
      <c r="G20" s="28" t="n"/>
      <c r="H20" s="29" t="n"/>
      <c r="I20" s="29" t="n"/>
      <c r="J20" s="29" t="n"/>
      <c r="K20" s="30">
        <f>K7*1.6</f>
        <v/>
      </c>
      <c r="M20" s="30">
        <f>M7*1.6</f>
        <v/>
      </c>
      <c r="N20" s="30">
        <f>N7*1.6</f>
        <v/>
      </c>
      <c r="O20" s="30">
        <f>O7*1.6</f>
        <v/>
      </c>
      <c r="P20" s="30">
        <f>P7*1.6</f>
        <v/>
      </c>
      <c r="Q20" s="30">
        <f>Q7*1.6</f>
        <v/>
      </c>
      <c r="R20" s="30">
        <f>R7*1.6</f>
        <v/>
      </c>
      <c r="S20" s="30">
        <f>S7*1.6</f>
        <v/>
      </c>
      <c r="T20" s="30">
        <f>T7*1.6</f>
        <v/>
      </c>
      <c r="U20" s="30">
        <f>U7*1.6</f>
        <v/>
      </c>
      <c r="V20" s="30">
        <f>V7*1.6</f>
        <v/>
      </c>
      <c r="W20" s="30">
        <f>W7*1.6</f>
        <v/>
      </c>
      <c r="X20" s="30">
        <f>X7*1.6</f>
        <v/>
      </c>
      <c r="Y20" s="30">
        <f>Y7*1.6</f>
        <v/>
      </c>
    </row>
    <row r="21">
      <c r="A21" s="2" t="inlineStr">
        <is>
          <t>2A</t>
        </is>
      </c>
      <c r="B21" s="36" t="n">
        <v>2</v>
      </c>
      <c r="C21" s="36" t="n"/>
      <c r="D21" s="36" t="n"/>
      <c r="E21" s="38" t="n"/>
      <c r="F21" s="38" t="n"/>
      <c r="G21" s="38" t="n"/>
      <c r="H21" s="40" t="n"/>
      <c r="I21" s="40" t="n"/>
      <c r="J21" s="40" t="n"/>
      <c r="K21" s="10">
        <f t="array" ref="K21">SUM($B21:$J21*TRANSPOSE(K$7:K$15))</f>
        <v/>
      </c>
      <c r="M21" s="8">
        <f t="array" ref="M21">SUM($B21:$J21*TRANSPOSE(M$7:M$15))</f>
        <v/>
      </c>
      <c r="O21" s="9">
        <f t="array" ref="O21">SUM($B21:$J21*TRANSPOSE(O$7:O$15))</f>
        <v/>
      </c>
      <c r="Q21" s="10">
        <f t="array" ref="Q21">SUM($B21:$J21*TRANSPOSE(Q$7:Q$15))</f>
        <v/>
      </c>
      <c r="S21" s="8">
        <f t="array" ref="S21">SUM($B21:$J21*TRANSPOSE(S$7:S$15))</f>
        <v/>
      </c>
      <c r="U21" s="9">
        <f t="array" ref="U21">SUM($B21:$J21*TRANSPOSE(U$7:U$15))</f>
        <v/>
      </c>
      <c r="W21" s="10">
        <f t="array" ref="W21">SUM($B21:$J21*TRANSPOSE(W$7:W$15))</f>
        <v/>
      </c>
      <c r="Y21" s="8">
        <f t="array" ref="Y21">SUM($B21:$J21*TRANSPOSE(Y$7:Y$15))</f>
        <v/>
      </c>
    </row>
    <row r="22"/>
    <row r="23"/>
    <row r="24" ht="21" customHeight="1">
      <c r="A24" s="3" t="inlineStr">
        <is>
          <t>Room</t>
        </is>
      </c>
      <c r="B24" s="4" t="inlineStr">
        <is>
          <t>Double Sea Side (DBMB)</t>
        </is>
      </c>
      <c r="C24" s="4" t="inlineStr">
        <is>
          <t>Standard</t>
        </is>
      </c>
    </row>
    <row r="25"/>
    <row r="26">
      <c r="I26" s="1" t="inlineStr">
        <is>
          <t>Bed prices</t>
        </is>
      </c>
      <c r="K26" s="10" t="inlineStr">
        <is>
          <t>All  Inclusive</t>
        </is>
      </c>
      <c r="M26" s="8" t="inlineStr">
        <is>
          <t>All  Inclusive</t>
        </is>
      </c>
      <c r="O26" s="9" t="inlineStr">
        <is>
          <t>All  Inclusive</t>
        </is>
      </c>
      <c r="Q26" s="10" t="inlineStr">
        <is>
          <t>All  Inclusive</t>
        </is>
      </c>
      <c r="S26" s="8" t="inlineStr">
        <is>
          <t>All  Inclusive</t>
        </is>
      </c>
      <c r="U26" s="9" t="inlineStr">
        <is>
          <t>All  Inclusive</t>
        </is>
      </c>
      <c r="W26" s="10" t="inlineStr">
        <is>
          <t>All  Inclusive</t>
        </is>
      </c>
      <c r="Y26" s="8" t="inlineStr">
        <is>
          <t>All  Inclusive</t>
        </is>
      </c>
    </row>
    <row r="27">
      <c r="I27" s="5" t="inlineStr">
        <is>
          <t>Adult</t>
        </is>
      </c>
      <c r="J27" s="5" t="inlineStr">
        <is>
          <t>MB</t>
        </is>
      </c>
      <c r="K27" s="16" t="n"/>
      <c r="L27" s="13" t="n"/>
      <c r="M27" s="18" t="n"/>
      <c r="N27" s="13" t="n"/>
      <c r="O27" s="12" t="n"/>
      <c r="P27" s="13" t="n"/>
      <c r="Q27" s="16" t="n"/>
      <c r="R27" s="13" t="n"/>
      <c r="S27" s="18" t="n"/>
      <c r="T27" s="13" t="n"/>
      <c r="U27" s="12" t="n"/>
      <c r="V27" s="13" t="n"/>
      <c r="W27" s="16" t="n"/>
      <c r="X27" s="13" t="n"/>
      <c r="Y27" s="18" t="n"/>
    </row>
    <row r="28">
      <c r="I28" s="5" t="n"/>
      <c r="J28" s="5" t="inlineStr">
        <is>
          <t>ExB</t>
        </is>
      </c>
      <c r="K28" s="15" t="n"/>
      <c r="L28" s="14" t="n"/>
      <c r="M28" s="17" t="n"/>
      <c r="N28" s="14" t="n"/>
      <c r="O28" s="11" t="n"/>
      <c r="P28" s="14" t="n"/>
      <c r="Q28" s="15" t="n"/>
      <c r="R28" s="14" t="n"/>
      <c r="S28" s="17" t="n"/>
      <c r="T28" s="14" t="n"/>
      <c r="U28" s="11" t="n"/>
      <c r="V28" s="14" t="n"/>
      <c r="W28" s="15" t="n"/>
      <c r="X28" s="14" t="n"/>
      <c r="Y28" s="17" t="n"/>
    </row>
    <row r="29">
      <c r="I29" s="5" t="n"/>
      <c r="J29" s="5" t="inlineStr">
        <is>
          <t>W/oB</t>
        </is>
      </c>
      <c r="K29" s="15" t="n"/>
      <c r="L29" s="14" t="n"/>
      <c r="M29" s="17" t="n"/>
      <c r="N29" s="14" t="n"/>
      <c r="O29" s="11" t="n"/>
      <c r="P29" s="14" t="n"/>
      <c r="Q29" s="15" t="n"/>
      <c r="R29" s="14" t="n"/>
      <c r="S29" s="17" t="n"/>
      <c r="T29" s="14" t="n"/>
      <c r="U29" s="11" t="n"/>
      <c r="V29" s="14" t="n"/>
      <c r="W29" s="15" t="n"/>
      <c r="X29" s="14" t="n"/>
      <c r="Y29" s="17" t="n"/>
    </row>
    <row r="30">
      <c r="I30" s="6" t="inlineStr">
        <is>
          <t>Child 2-12</t>
        </is>
      </c>
      <c r="J30" s="6" t="inlineStr">
        <is>
          <t>MB</t>
        </is>
      </c>
      <c r="K30" s="15" t="n"/>
      <c r="L30" s="14" t="n"/>
      <c r="M30" s="17" t="n"/>
      <c r="N30" s="14" t="n"/>
      <c r="O30" s="11" t="n"/>
      <c r="P30" s="14" t="n"/>
      <c r="Q30" s="15" t="n"/>
      <c r="R30" s="14" t="n"/>
      <c r="S30" s="17" t="n"/>
      <c r="T30" s="14" t="n"/>
      <c r="U30" s="11" t="n"/>
      <c r="V30" s="14" t="n"/>
      <c r="W30" s="15" t="n"/>
      <c r="X30" s="14" t="n"/>
      <c r="Y30" s="17" t="n"/>
    </row>
    <row r="31">
      <c r="I31" s="6" t="n"/>
      <c r="J31" s="6" t="inlineStr">
        <is>
          <t>ExB</t>
        </is>
      </c>
      <c r="K31" s="15" t="n"/>
      <c r="L31" s="14" t="n"/>
      <c r="M31" s="17" t="n"/>
      <c r="N31" s="14" t="n"/>
      <c r="O31" s="11" t="n"/>
      <c r="P31" s="14" t="n"/>
      <c r="Q31" s="15" t="n"/>
      <c r="R31" s="14" t="n"/>
      <c r="S31" s="17" t="n"/>
      <c r="T31" s="14" t="n"/>
      <c r="U31" s="11" t="n"/>
      <c r="V31" s="14" t="n"/>
      <c r="W31" s="15" t="n"/>
      <c r="X31" s="14" t="n"/>
      <c r="Y31" s="17" t="n"/>
    </row>
    <row r="32">
      <c r="I32" s="6" t="n"/>
      <c r="J32" s="6" t="inlineStr">
        <is>
          <t>W/oB</t>
        </is>
      </c>
      <c r="K32" s="15" t="n"/>
      <c r="L32" s="14" t="n"/>
      <c r="M32" s="17" t="n"/>
      <c r="N32" s="14" t="n"/>
      <c r="O32" s="11" t="n"/>
      <c r="P32" s="14" t="n"/>
      <c r="Q32" s="15" t="n"/>
      <c r="R32" s="14" t="n"/>
      <c r="S32" s="17" t="n"/>
      <c r="T32" s="14" t="n"/>
      <c r="U32" s="11" t="n"/>
      <c r="V32" s="14" t="n"/>
      <c r="W32" s="15" t="n"/>
      <c r="X32" s="14" t="n"/>
      <c r="Y32" s="17" t="n"/>
    </row>
    <row r="33">
      <c r="I33" s="7" t="inlineStr">
        <is>
          <t>Infant 0-1</t>
        </is>
      </c>
      <c r="J33" s="7" t="inlineStr">
        <is>
          <t>MB</t>
        </is>
      </c>
      <c r="K33" s="15" t="n"/>
      <c r="L33" s="14" t="n"/>
      <c r="M33" s="17" t="n"/>
      <c r="N33" s="14" t="n"/>
      <c r="O33" s="11" t="n"/>
      <c r="P33" s="14" t="n"/>
      <c r="Q33" s="15" t="n"/>
      <c r="R33" s="14" t="n"/>
      <c r="S33" s="17" t="n"/>
      <c r="T33" s="14" t="n"/>
      <c r="U33" s="11" t="n"/>
      <c r="V33" s="14" t="n"/>
      <c r="W33" s="15" t="n"/>
      <c r="X33" s="14" t="n"/>
      <c r="Y33" s="17" t="n"/>
    </row>
    <row r="34">
      <c r="I34" s="7" t="n"/>
      <c r="J34" s="7" t="inlineStr">
        <is>
          <t>ExB</t>
        </is>
      </c>
      <c r="K34" s="15" t="n"/>
      <c r="L34" s="14" t="n"/>
      <c r="M34" s="17" t="n"/>
      <c r="N34" s="14" t="n"/>
      <c r="O34" s="11" t="n"/>
      <c r="P34" s="14" t="n"/>
      <c r="Q34" s="15" t="n"/>
      <c r="R34" s="14" t="n"/>
      <c r="S34" s="17" t="n"/>
      <c r="T34" s="14" t="n"/>
      <c r="U34" s="11" t="n"/>
      <c r="V34" s="14" t="n"/>
      <c r="W34" s="15" t="n"/>
      <c r="X34" s="14" t="n"/>
      <c r="Y34" s="17" t="n"/>
    </row>
    <row r="35">
      <c r="I35" s="7" t="n"/>
      <c r="J35" s="7" t="inlineStr">
        <is>
          <t>W/oB</t>
        </is>
      </c>
      <c r="K35" s="15" t="n"/>
      <c r="L35" s="14" t="n"/>
      <c r="M35" s="17" t="n"/>
      <c r="N35" s="14" t="n"/>
      <c r="O35" s="11" t="n"/>
      <c r="P35" s="14" t="n"/>
      <c r="Q35" s="15" t="n"/>
      <c r="R35" s="14" t="n"/>
      <c r="S35" s="17" t="n"/>
      <c r="T35" s="14" t="n"/>
      <c r="U35" s="11" t="n"/>
      <c r="V35" s="14" t="n"/>
      <c r="W35" s="15" t="n"/>
      <c r="X35" s="14" t="n"/>
      <c r="Y35" s="17" t="n"/>
    </row>
    <row r="36">
      <c r="K36" s="10" t="n"/>
      <c r="M36" s="8" t="n"/>
      <c r="O36" s="9" t="n"/>
      <c r="Q36" s="10" t="n"/>
      <c r="S36" s="8" t="n"/>
      <c r="U36" s="9" t="n"/>
      <c r="W36" s="10" t="n"/>
      <c r="Y36" s="8" t="n"/>
    </row>
    <row r="37" ht="18" customHeight="1">
      <c r="A37" s="19" t="inlineStr">
        <is>
          <t>Prices</t>
        </is>
      </c>
      <c r="B37" s="35" t="inlineStr">
        <is>
          <t>Adult</t>
        </is>
      </c>
      <c r="E37" s="37" t="inlineStr">
        <is>
          <t>Child 2-12</t>
        </is>
      </c>
      <c r="H37" s="39" t="inlineStr">
        <is>
          <t>Infant 0-1</t>
        </is>
      </c>
      <c r="K37" s="25" t="inlineStr">
        <is>
          <t>01/11/2026</t>
        </is>
      </c>
      <c r="L37" s="10" t="inlineStr">
        <is>
          <t>min stay 3</t>
        </is>
      </c>
      <c r="M37" s="23" t="inlineStr">
        <is>
          <t>24/12/2026</t>
        </is>
      </c>
      <c r="N37" s="8" t="inlineStr">
        <is>
          <t>min stay 3</t>
        </is>
      </c>
      <c r="O37" s="24" t="inlineStr">
        <is>
          <t>02/01/2027</t>
        </is>
      </c>
      <c r="P37" s="9" t="inlineStr">
        <is>
          <t>min stay 3</t>
        </is>
      </c>
      <c r="Q37" s="25" t="inlineStr">
        <is>
          <t>30/01/2027</t>
        </is>
      </c>
      <c r="R37" s="10" t="inlineStr">
        <is>
          <t>min stay 3</t>
        </is>
      </c>
      <c r="S37" s="23" t="inlineStr">
        <is>
          <t>01/04/2027</t>
        </is>
      </c>
      <c r="T37" s="8" t="inlineStr">
        <is>
          <t>min stay 3</t>
        </is>
      </c>
      <c r="U37" s="24" t="inlineStr">
        <is>
          <t>01/05/2027</t>
        </is>
      </c>
      <c r="V37" s="9" t="inlineStr">
        <is>
          <t>min stay 3</t>
        </is>
      </c>
      <c r="W37" s="25" t="inlineStr">
        <is>
          <t>10/07/2027</t>
        </is>
      </c>
      <c r="X37" s="10" t="inlineStr">
        <is>
          <t>min stay 3</t>
        </is>
      </c>
      <c r="Y37" s="23" t="inlineStr">
        <is>
          <t>21/08/2027</t>
        </is>
      </c>
      <c r="Z37" s="8" t="inlineStr">
        <is>
          <t>min stay 3</t>
        </is>
      </c>
    </row>
    <row r="38">
      <c r="B38" s="5" t="n">
        <v>13</v>
      </c>
      <c r="C38" s="5" t="n">
        <v>150</v>
      </c>
      <c r="D38" s="5" t="n"/>
      <c r="E38" s="6" t="n">
        <v>2</v>
      </c>
      <c r="F38" s="6" t="n">
        <v>12</v>
      </c>
      <c r="G38" s="6" t="n"/>
      <c r="H38" s="7" t="n">
        <v>0</v>
      </c>
      <c r="I38" s="7" t="n">
        <v>1</v>
      </c>
      <c r="J38" s="7" t="n"/>
      <c r="K38" s="25" t="inlineStr">
        <is>
          <t>23/12/2026</t>
        </is>
      </c>
      <c r="L38" s="10" t="inlineStr">
        <is>
          <t>type Contract Rate</t>
        </is>
      </c>
      <c r="M38" s="23" t="inlineStr">
        <is>
          <t>01/01/2027</t>
        </is>
      </c>
      <c r="N38" s="8" t="inlineStr">
        <is>
          <t>type Contract Rate</t>
        </is>
      </c>
      <c r="O38" s="24" t="inlineStr">
        <is>
          <t>29/01/2027</t>
        </is>
      </c>
      <c r="P38" s="9" t="inlineStr">
        <is>
          <t>type Contract Rate</t>
        </is>
      </c>
      <c r="Q38" s="25" t="inlineStr">
        <is>
          <t>31/03/2027</t>
        </is>
      </c>
      <c r="R38" s="10" t="inlineStr">
        <is>
          <t>type Contract Rate</t>
        </is>
      </c>
      <c r="S38" s="23" t="inlineStr">
        <is>
          <t>30/04/2027</t>
        </is>
      </c>
      <c r="T38" s="8" t="inlineStr">
        <is>
          <t>type Contract Rate</t>
        </is>
      </c>
      <c r="U38" s="24" t="inlineStr">
        <is>
          <t>09/07/2027</t>
        </is>
      </c>
      <c r="V38" s="9" t="inlineStr">
        <is>
          <t>type Contract Rate</t>
        </is>
      </c>
      <c r="W38" s="25" t="inlineStr">
        <is>
          <t>20/08/2027</t>
        </is>
      </c>
      <c r="X38" s="10" t="inlineStr">
        <is>
          <t>type Contract Rate</t>
        </is>
      </c>
      <c r="Y38" s="23" t="inlineStr">
        <is>
          <t>31/10/2027</t>
        </is>
      </c>
      <c r="Z38" s="8" t="inlineStr">
        <is>
          <t>type Contract Rate</t>
        </is>
      </c>
    </row>
    <row r="39">
      <c r="B39" s="36" t="inlineStr">
        <is>
          <t>MB</t>
        </is>
      </c>
      <c r="C39" s="36" t="inlineStr">
        <is>
          <t>ExB</t>
        </is>
      </c>
      <c r="D39" s="36" t="inlineStr">
        <is>
          <t>W/oB</t>
        </is>
      </c>
      <c r="E39" s="38" t="inlineStr">
        <is>
          <t>MB</t>
        </is>
      </c>
      <c r="F39" s="38" t="inlineStr">
        <is>
          <t>ExB</t>
        </is>
      </c>
      <c r="G39" s="38" t="inlineStr">
        <is>
          <t>W/oB</t>
        </is>
      </c>
      <c r="H39" s="40" t="inlineStr">
        <is>
          <t>MB</t>
        </is>
      </c>
      <c r="I39" s="40" t="inlineStr">
        <is>
          <t>ExB</t>
        </is>
      </c>
      <c r="J39" s="40" t="inlineStr">
        <is>
          <t>W/oB</t>
        </is>
      </c>
      <c r="K39" s="10" t="inlineStr">
        <is>
          <t>All  Inclusive</t>
        </is>
      </c>
      <c r="M39" s="8" t="inlineStr">
        <is>
          <t>All  Inclusive</t>
        </is>
      </c>
      <c r="O39" s="9" t="inlineStr">
        <is>
          <t>All  Inclusive</t>
        </is>
      </c>
      <c r="Q39" s="10" t="inlineStr">
        <is>
          <t>All  Inclusive</t>
        </is>
      </c>
      <c r="S39" s="8" t="inlineStr">
        <is>
          <t>All  Inclusive</t>
        </is>
      </c>
      <c r="U39" s="9" t="inlineStr">
        <is>
          <t>All  Inclusive</t>
        </is>
      </c>
      <c r="W39" s="10" t="inlineStr">
        <is>
          <t>All  Inclusive</t>
        </is>
      </c>
      <c r="Y39" s="8" t="inlineStr">
        <is>
          <t>All  Inclusive</t>
        </is>
      </c>
    </row>
    <row r="40" customFormat="1" s="31">
      <c r="A40" s="26" t="inlineStr">
        <is>
          <t>1A</t>
        </is>
      </c>
      <c r="B40" s="27" t="n">
        <v>1</v>
      </c>
      <c r="C40" s="27" t="n"/>
      <c r="D40" s="27" t="n"/>
      <c r="E40" s="28" t="n"/>
      <c r="F40" s="28" t="n"/>
      <c r="G40" s="28" t="n"/>
      <c r="H40" s="29" t="n"/>
      <c r="I40" s="29" t="n"/>
      <c r="J40" s="29" t="n"/>
      <c r="K40" s="30">
        <f>K27*1.6</f>
        <v/>
      </c>
      <c r="M40" s="30">
        <f>M27*1.6</f>
        <v/>
      </c>
      <c r="N40" s="30">
        <f>N27*1.6</f>
        <v/>
      </c>
      <c r="O40" s="30">
        <f>O27*1.6</f>
        <v/>
      </c>
      <c r="P40" s="30">
        <f>P27*1.6</f>
        <v/>
      </c>
      <c r="Q40" s="30">
        <f>Q27*1.6</f>
        <v/>
      </c>
      <c r="R40" s="30">
        <f>R27*1.6</f>
        <v/>
      </c>
      <c r="S40" s="30">
        <f>S27*1.6</f>
        <v/>
      </c>
      <c r="T40" s="30">
        <f>T27*1.6</f>
        <v/>
      </c>
      <c r="U40" s="30">
        <f>U27*1.6</f>
        <v/>
      </c>
      <c r="V40" s="30">
        <f>V27*1.6</f>
        <v/>
      </c>
      <c r="W40" s="30">
        <f>W27*1.6</f>
        <v/>
      </c>
      <c r="X40" s="30">
        <f>X27*1.6</f>
        <v/>
      </c>
      <c r="Y40" s="30">
        <f>Y27*1.6</f>
        <v/>
      </c>
    </row>
    <row r="41">
      <c r="A41" s="2" t="inlineStr">
        <is>
          <t>2A</t>
        </is>
      </c>
      <c r="B41" s="36" t="n">
        <v>2</v>
      </c>
      <c r="C41" s="36" t="n"/>
      <c r="D41" s="36" t="n"/>
      <c r="E41" s="38" t="n"/>
      <c r="F41" s="38" t="n"/>
      <c r="G41" s="38" t="n"/>
      <c r="H41" s="40" t="n"/>
      <c r="I41" s="40" t="n"/>
      <c r="J41" s="40" t="n"/>
      <c r="K41" s="10">
        <f t="array" ref="K41">SUM($B41:$J41*TRANSPOSE(K$27:K$35))</f>
        <v/>
      </c>
      <c r="M41" s="8">
        <f t="array" ref="M41">SUM($B41:$J41*TRANSPOSE(M$27:M$35))</f>
        <v/>
      </c>
      <c r="O41" s="9">
        <f t="array" ref="O41">SUM($B41:$J41*TRANSPOSE(O$27:O$35))</f>
        <v/>
      </c>
      <c r="Q41" s="10">
        <f t="array" ref="Q41">SUM($B41:$J41*TRANSPOSE(Q$27:Q$35))</f>
        <v/>
      </c>
      <c r="S41" s="8">
        <f t="array" ref="S41">SUM($B41:$J41*TRANSPOSE(S$27:S$35))</f>
        <v/>
      </c>
      <c r="U41" s="9">
        <f t="array" ref="U41">SUM($B41:$J41*TRANSPOSE(U$27:U$35))</f>
        <v/>
      </c>
      <c r="W41" s="10">
        <f t="array" ref="W41">SUM($B41:$J41*TRANSPOSE(W$27:W$35))</f>
        <v/>
      </c>
      <c r="Y41" s="8">
        <f t="array" ref="Y41">SUM($B41:$J41*TRANSPOSE(Y$27:Y$35))</f>
        <v/>
      </c>
    </row>
    <row r="42"/>
    <row r="43"/>
    <row r="44" ht="21" customHeight="1">
      <c r="A44" s="3" t="inlineStr">
        <is>
          <t>Room</t>
        </is>
      </c>
      <c r="B44" s="4" t="inlineStr">
        <is>
          <t>Double Standard Frontal Sea View (DBFB)</t>
        </is>
      </c>
      <c r="C44" s="4" t="inlineStr">
        <is>
          <t>Standard</t>
        </is>
      </c>
    </row>
    <row r="45"/>
    <row r="46">
      <c r="I46" s="1" t="inlineStr">
        <is>
          <t>Bed prices</t>
        </is>
      </c>
      <c r="K46" s="10" t="inlineStr">
        <is>
          <t>All  Inclusive</t>
        </is>
      </c>
      <c r="M46" s="8" t="inlineStr">
        <is>
          <t>All  Inclusive</t>
        </is>
      </c>
      <c r="O46" s="9" t="inlineStr">
        <is>
          <t>All  Inclusive</t>
        </is>
      </c>
      <c r="Q46" s="10" t="inlineStr">
        <is>
          <t>All  Inclusive</t>
        </is>
      </c>
      <c r="S46" s="8" t="inlineStr">
        <is>
          <t>All  Inclusive</t>
        </is>
      </c>
      <c r="U46" s="9" t="inlineStr">
        <is>
          <t>All  Inclusive</t>
        </is>
      </c>
      <c r="W46" s="10" t="inlineStr">
        <is>
          <t>All  Inclusive</t>
        </is>
      </c>
      <c r="Y46" s="8" t="inlineStr">
        <is>
          <t>All  Inclusive</t>
        </is>
      </c>
    </row>
    <row r="47">
      <c r="I47" s="5" t="inlineStr">
        <is>
          <t>Adult</t>
        </is>
      </c>
      <c r="J47" s="5" t="inlineStr">
        <is>
          <t>MB</t>
        </is>
      </c>
      <c r="K47" s="16" t="n"/>
      <c r="L47" s="13" t="n"/>
      <c r="M47" s="18" t="n"/>
      <c r="N47" s="13" t="n"/>
      <c r="O47" s="12" t="n"/>
      <c r="P47" s="13" t="n"/>
      <c r="Q47" s="16" t="n"/>
      <c r="R47" s="13" t="n"/>
      <c r="S47" s="18" t="n"/>
      <c r="T47" s="13" t="n"/>
      <c r="U47" s="12" t="n"/>
      <c r="V47" s="13" t="n"/>
      <c r="W47" s="16" t="n"/>
      <c r="X47" s="13" t="n"/>
      <c r="Y47" s="18" t="n"/>
    </row>
    <row r="48">
      <c r="I48" s="5" t="n"/>
      <c r="J48" s="5" t="inlineStr">
        <is>
          <t>ExB</t>
        </is>
      </c>
      <c r="K48" s="15" t="n"/>
      <c r="L48" s="14" t="n"/>
      <c r="M48" s="17" t="n"/>
      <c r="N48" s="14" t="n"/>
      <c r="O48" s="11" t="n"/>
      <c r="P48" s="14" t="n"/>
      <c r="Q48" s="15" t="n"/>
      <c r="R48" s="14" t="n"/>
      <c r="S48" s="17" t="n"/>
      <c r="T48" s="14" t="n"/>
      <c r="U48" s="11" t="n"/>
      <c r="V48" s="14" t="n"/>
      <c r="W48" s="15" t="n"/>
      <c r="X48" s="14" t="n"/>
      <c r="Y48" s="17" t="n"/>
    </row>
    <row r="49">
      <c r="I49" s="5" t="n"/>
      <c r="J49" s="5" t="inlineStr">
        <is>
          <t>W/oB</t>
        </is>
      </c>
      <c r="K49" s="15" t="n"/>
      <c r="L49" s="14" t="n"/>
      <c r="M49" s="17" t="n"/>
      <c r="N49" s="14" t="n"/>
      <c r="O49" s="11" t="n"/>
      <c r="P49" s="14" t="n"/>
      <c r="Q49" s="15" t="n"/>
      <c r="R49" s="14" t="n"/>
      <c r="S49" s="17" t="n"/>
      <c r="T49" s="14" t="n"/>
      <c r="U49" s="11" t="n"/>
      <c r="V49" s="14" t="n"/>
      <c r="W49" s="15" t="n"/>
      <c r="X49" s="14" t="n"/>
      <c r="Y49" s="17" t="n"/>
    </row>
    <row r="50">
      <c r="I50" s="6" t="inlineStr">
        <is>
          <t>Child 2-12</t>
        </is>
      </c>
      <c r="J50" s="6" t="inlineStr">
        <is>
          <t>MB</t>
        </is>
      </c>
      <c r="K50" s="15" t="n"/>
      <c r="L50" s="14" t="n"/>
      <c r="M50" s="17" t="n"/>
      <c r="N50" s="14" t="n"/>
      <c r="O50" s="11" t="n"/>
      <c r="P50" s="14" t="n"/>
      <c r="Q50" s="15" t="n"/>
      <c r="R50" s="14" t="n"/>
      <c r="S50" s="17" t="n"/>
      <c r="T50" s="14" t="n"/>
      <c r="U50" s="11" t="n"/>
      <c r="V50" s="14" t="n"/>
      <c r="W50" s="15" t="n"/>
      <c r="X50" s="14" t="n"/>
      <c r="Y50" s="17" t="n"/>
    </row>
    <row r="51">
      <c r="I51" s="6" t="n"/>
      <c r="J51" s="6" t="inlineStr">
        <is>
          <t>ExB</t>
        </is>
      </c>
      <c r="K51" s="15" t="n"/>
      <c r="L51" s="14" t="n"/>
      <c r="M51" s="17" t="n"/>
      <c r="N51" s="14" t="n"/>
      <c r="O51" s="11" t="n"/>
      <c r="P51" s="14" t="n"/>
      <c r="Q51" s="15" t="n"/>
      <c r="R51" s="14" t="n"/>
      <c r="S51" s="17" t="n"/>
      <c r="T51" s="14" t="n"/>
      <c r="U51" s="11" t="n"/>
      <c r="V51" s="14" t="n"/>
      <c r="W51" s="15" t="n"/>
      <c r="X51" s="14" t="n"/>
      <c r="Y51" s="17" t="n"/>
    </row>
    <row r="52">
      <c r="I52" s="6" t="n"/>
      <c r="J52" s="6" t="inlineStr">
        <is>
          <t>W/oB</t>
        </is>
      </c>
      <c r="K52" s="15" t="n"/>
      <c r="L52" s="14" t="n"/>
      <c r="M52" s="17" t="n"/>
      <c r="N52" s="14" t="n"/>
      <c r="O52" s="11" t="n"/>
      <c r="P52" s="14" t="n"/>
      <c r="Q52" s="15" t="n"/>
      <c r="R52" s="14" t="n"/>
      <c r="S52" s="17" t="n"/>
      <c r="T52" s="14" t="n"/>
      <c r="U52" s="11" t="n"/>
      <c r="V52" s="14" t="n"/>
      <c r="W52" s="15" t="n"/>
      <c r="X52" s="14" t="n"/>
      <c r="Y52" s="17" t="n"/>
    </row>
    <row r="53">
      <c r="I53" s="7" t="inlineStr">
        <is>
          <t>Infant 0-1</t>
        </is>
      </c>
      <c r="J53" s="7" t="inlineStr">
        <is>
          <t>MB</t>
        </is>
      </c>
      <c r="K53" s="15" t="n"/>
      <c r="L53" s="14" t="n"/>
      <c r="M53" s="17" t="n"/>
      <c r="N53" s="14" t="n"/>
      <c r="O53" s="11" t="n"/>
      <c r="P53" s="14" t="n"/>
      <c r="Q53" s="15" t="n"/>
      <c r="R53" s="14" t="n"/>
      <c r="S53" s="17" t="n"/>
      <c r="T53" s="14" t="n"/>
      <c r="U53" s="11" t="n"/>
      <c r="V53" s="14" t="n"/>
      <c r="W53" s="15" t="n"/>
      <c r="X53" s="14" t="n"/>
      <c r="Y53" s="17" t="n"/>
    </row>
    <row r="54">
      <c r="I54" s="7" t="n"/>
      <c r="J54" s="7" t="inlineStr">
        <is>
          <t>ExB</t>
        </is>
      </c>
      <c r="K54" s="15" t="n"/>
      <c r="L54" s="14" t="n"/>
      <c r="M54" s="17" t="n"/>
      <c r="N54" s="14" t="n"/>
      <c r="O54" s="11" t="n"/>
      <c r="P54" s="14" t="n"/>
      <c r="Q54" s="15" t="n"/>
      <c r="R54" s="14" t="n"/>
      <c r="S54" s="17" t="n"/>
      <c r="T54" s="14" t="n"/>
      <c r="U54" s="11" t="n"/>
      <c r="V54" s="14" t="n"/>
      <c r="W54" s="15" t="n"/>
      <c r="X54" s="14" t="n"/>
      <c r="Y54" s="17" t="n"/>
    </row>
    <row r="55">
      <c r="I55" s="7" t="n"/>
      <c r="J55" s="7" t="inlineStr">
        <is>
          <t>W/oB</t>
        </is>
      </c>
      <c r="K55" s="15" t="n"/>
      <c r="L55" s="14" t="n"/>
      <c r="M55" s="17" t="n"/>
      <c r="N55" s="14" t="n"/>
      <c r="O55" s="11" t="n"/>
      <c r="P55" s="14" t="n"/>
      <c r="Q55" s="15" t="n"/>
      <c r="R55" s="14" t="n"/>
      <c r="S55" s="17" t="n"/>
      <c r="T55" s="14" t="n"/>
      <c r="U55" s="11" t="n"/>
      <c r="V55" s="14" t="n"/>
      <c r="W55" s="15" t="n"/>
      <c r="X55" s="14" t="n"/>
      <c r="Y55" s="17" t="n"/>
    </row>
    <row r="56">
      <c r="K56" s="10" t="n"/>
      <c r="M56" s="8" t="n"/>
      <c r="O56" s="9" t="n"/>
      <c r="Q56" s="10" t="n"/>
      <c r="S56" s="8" t="n"/>
      <c r="U56" s="9" t="n"/>
      <c r="W56" s="10" t="n"/>
      <c r="Y56" s="8" t="n"/>
    </row>
    <row r="57" ht="18" customHeight="1">
      <c r="A57" s="19" t="inlineStr">
        <is>
          <t>Prices</t>
        </is>
      </c>
      <c r="B57" s="35" t="inlineStr">
        <is>
          <t>Adult</t>
        </is>
      </c>
      <c r="E57" s="37" t="inlineStr">
        <is>
          <t>Child 2-12</t>
        </is>
      </c>
      <c r="H57" s="39" t="inlineStr">
        <is>
          <t>Infant 0-1</t>
        </is>
      </c>
      <c r="K57" s="25" t="inlineStr">
        <is>
          <t>01/11/2026</t>
        </is>
      </c>
      <c r="L57" s="10" t="inlineStr">
        <is>
          <t>min stay 3</t>
        </is>
      </c>
      <c r="M57" s="23" t="inlineStr">
        <is>
          <t>24/12/2026</t>
        </is>
      </c>
      <c r="N57" s="8" t="inlineStr">
        <is>
          <t>min stay 3</t>
        </is>
      </c>
      <c r="O57" s="24" t="inlineStr">
        <is>
          <t>02/01/2027</t>
        </is>
      </c>
      <c r="P57" s="9" t="inlineStr">
        <is>
          <t>min stay 3</t>
        </is>
      </c>
      <c r="Q57" s="25" t="inlineStr">
        <is>
          <t>30/01/2027</t>
        </is>
      </c>
      <c r="R57" s="10" t="inlineStr">
        <is>
          <t>min stay 3</t>
        </is>
      </c>
      <c r="S57" s="23" t="inlineStr">
        <is>
          <t>01/04/2027</t>
        </is>
      </c>
      <c r="T57" s="8" t="inlineStr">
        <is>
          <t>min stay 3</t>
        </is>
      </c>
      <c r="U57" s="24" t="inlineStr">
        <is>
          <t>01/05/2027</t>
        </is>
      </c>
      <c r="V57" s="9" t="inlineStr">
        <is>
          <t>min stay 3</t>
        </is>
      </c>
      <c r="W57" s="25" t="inlineStr">
        <is>
          <t>10/07/2027</t>
        </is>
      </c>
      <c r="X57" s="10" t="inlineStr">
        <is>
          <t>min stay 3</t>
        </is>
      </c>
      <c r="Y57" s="23" t="inlineStr">
        <is>
          <t>21/08/2027</t>
        </is>
      </c>
      <c r="Z57" s="8" t="inlineStr">
        <is>
          <t>min stay 3</t>
        </is>
      </c>
    </row>
    <row r="58">
      <c r="B58" s="5" t="n">
        <v>13</v>
      </c>
      <c r="C58" s="5" t="n">
        <v>150</v>
      </c>
      <c r="D58" s="5" t="n"/>
      <c r="E58" s="6" t="n">
        <v>2</v>
      </c>
      <c r="F58" s="6" t="n">
        <v>12</v>
      </c>
      <c r="G58" s="6" t="n"/>
      <c r="H58" s="7" t="n">
        <v>0</v>
      </c>
      <c r="I58" s="7" t="n">
        <v>1</v>
      </c>
      <c r="J58" s="7" t="n"/>
      <c r="K58" s="25" t="inlineStr">
        <is>
          <t>23/12/2026</t>
        </is>
      </c>
      <c r="L58" s="10" t="inlineStr">
        <is>
          <t>type Contract Rate</t>
        </is>
      </c>
      <c r="M58" s="23" t="inlineStr">
        <is>
          <t>01/01/2027</t>
        </is>
      </c>
      <c r="N58" s="8" t="inlineStr">
        <is>
          <t>type Contract Rate</t>
        </is>
      </c>
      <c r="O58" s="24" t="inlineStr">
        <is>
          <t>29/01/2027</t>
        </is>
      </c>
      <c r="P58" s="9" t="inlineStr">
        <is>
          <t>type Contract Rate</t>
        </is>
      </c>
      <c r="Q58" s="25" t="inlineStr">
        <is>
          <t>31/03/2027</t>
        </is>
      </c>
      <c r="R58" s="10" t="inlineStr">
        <is>
          <t>type Contract Rate</t>
        </is>
      </c>
      <c r="S58" s="23" t="inlineStr">
        <is>
          <t>30/04/2027</t>
        </is>
      </c>
      <c r="T58" s="8" t="inlineStr">
        <is>
          <t>type Contract Rate</t>
        </is>
      </c>
      <c r="U58" s="24" t="inlineStr">
        <is>
          <t>09/07/2027</t>
        </is>
      </c>
      <c r="V58" s="9" t="inlineStr">
        <is>
          <t>type Contract Rate</t>
        </is>
      </c>
      <c r="W58" s="25" t="inlineStr">
        <is>
          <t>20/08/2027</t>
        </is>
      </c>
      <c r="X58" s="10" t="inlineStr">
        <is>
          <t>type Contract Rate</t>
        </is>
      </c>
      <c r="Y58" s="23" t="inlineStr">
        <is>
          <t>31/10/2027</t>
        </is>
      </c>
      <c r="Z58" s="8" t="inlineStr">
        <is>
          <t>type Contract Rate</t>
        </is>
      </c>
    </row>
    <row r="59">
      <c r="B59" s="36" t="inlineStr">
        <is>
          <t>MB</t>
        </is>
      </c>
      <c r="C59" s="36" t="inlineStr">
        <is>
          <t>ExB</t>
        </is>
      </c>
      <c r="D59" s="36" t="inlineStr">
        <is>
          <t>W/oB</t>
        </is>
      </c>
      <c r="E59" s="38" t="inlineStr">
        <is>
          <t>MB</t>
        </is>
      </c>
      <c r="F59" s="38" t="inlineStr">
        <is>
          <t>ExB</t>
        </is>
      </c>
      <c r="G59" s="38" t="inlineStr">
        <is>
          <t>W/oB</t>
        </is>
      </c>
      <c r="H59" s="40" t="inlineStr">
        <is>
          <t>MB</t>
        </is>
      </c>
      <c r="I59" s="40" t="inlineStr">
        <is>
          <t>ExB</t>
        </is>
      </c>
      <c r="J59" s="40" t="inlineStr">
        <is>
          <t>W/oB</t>
        </is>
      </c>
      <c r="K59" s="10" t="inlineStr">
        <is>
          <t>All  Inclusive</t>
        </is>
      </c>
      <c r="M59" s="8" t="inlineStr">
        <is>
          <t>All  Inclusive</t>
        </is>
      </c>
      <c r="O59" s="9" t="inlineStr">
        <is>
          <t>All  Inclusive</t>
        </is>
      </c>
      <c r="Q59" s="10" t="inlineStr">
        <is>
          <t>All  Inclusive</t>
        </is>
      </c>
      <c r="S59" s="8" t="inlineStr">
        <is>
          <t>All  Inclusive</t>
        </is>
      </c>
      <c r="U59" s="9" t="inlineStr">
        <is>
          <t>All  Inclusive</t>
        </is>
      </c>
      <c r="W59" s="10" t="inlineStr">
        <is>
          <t>All  Inclusive</t>
        </is>
      </c>
      <c r="Y59" s="8" t="inlineStr">
        <is>
          <t>All  Inclusive</t>
        </is>
      </c>
    </row>
    <row r="60" customFormat="1" s="31">
      <c r="A60" s="26" t="inlineStr">
        <is>
          <t>1A</t>
        </is>
      </c>
      <c r="B60" s="27" t="n">
        <v>1</v>
      </c>
      <c r="C60" s="27" t="n"/>
      <c r="D60" s="27" t="n"/>
      <c r="E60" s="28" t="n"/>
      <c r="F60" s="28" t="n"/>
      <c r="G60" s="28" t="n"/>
      <c r="H60" s="29" t="n"/>
      <c r="I60" s="29" t="n"/>
      <c r="J60" s="29" t="n"/>
      <c r="K60" s="30">
        <f>K47*1.6</f>
        <v/>
      </c>
      <c r="M60" s="30">
        <f>M47*1.6</f>
        <v/>
      </c>
      <c r="N60" s="30">
        <f>N47*1.6</f>
        <v/>
      </c>
      <c r="O60" s="30">
        <f>O47*1.6</f>
        <v/>
      </c>
      <c r="P60" s="30">
        <f>P47*1.6</f>
        <v/>
      </c>
      <c r="Q60" s="30">
        <f>Q47*1.6</f>
        <v/>
      </c>
      <c r="R60" s="30">
        <f>R47*1.6</f>
        <v/>
      </c>
      <c r="S60" s="30">
        <f>S47*1.6</f>
        <v/>
      </c>
      <c r="T60" s="30">
        <f>T47*1.6</f>
        <v/>
      </c>
      <c r="U60" s="30">
        <f>U47*1.6</f>
        <v/>
      </c>
      <c r="V60" s="30">
        <f>V47*1.6</f>
        <v/>
      </c>
      <c r="W60" s="30">
        <f>W47*1.6</f>
        <v/>
      </c>
      <c r="X60" s="30">
        <f>X47*1.6</f>
        <v/>
      </c>
      <c r="Y60" s="30">
        <f>Y47*1.6</f>
        <v/>
      </c>
    </row>
    <row r="61">
      <c r="A61" s="2" t="inlineStr">
        <is>
          <t>2A</t>
        </is>
      </c>
      <c r="B61" s="36" t="n">
        <v>2</v>
      </c>
      <c r="C61" s="36" t="n"/>
      <c r="D61" s="36" t="n"/>
      <c r="E61" s="38" t="n"/>
      <c r="F61" s="38" t="n"/>
      <c r="G61" s="38" t="n"/>
      <c r="H61" s="40" t="n"/>
      <c r="I61" s="40" t="n"/>
      <c r="J61" s="40" t="n"/>
      <c r="K61" s="10">
        <f t="array" ref="K61">SUM($B61:$J61*TRANSPOSE(K$47:K$55))</f>
        <v/>
      </c>
      <c r="M61" s="8">
        <f t="array" ref="M61">SUM($B61:$J61*TRANSPOSE(M$47:M$55))</f>
        <v/>
      </c>
      <c r="O61" s="9">
        <f t="array" ref="O61">SUM($B61:$J61*TRANSPOSE(O$47:O$55))</f>
        <v/>
      </c>
      <c r="Q61" s="10">
        <f t="array" ref="Q61">SUM($B61:$J61*TRANSPOSE(Q$47:Q$55))</f>
        <v/>
      </c>
      <c r="S61" s="8">
        <f t="array" ref="S61">SUM($B61:$J61*TRANSPOSE(S$47:S$55))</f>
        <v/>
      </c>
      <c r="U61" s="9">
        <f t="array" ref="U61">SUM($B61:$J61*TRANSPOSE(U$47:U$55))</f>
        <v/>
      </c>
      <c r="W61" s="10">
        <f t="array" ref="W61">SUM($B61:$J61*TRANSPOSE(W$47:W$55))</f>
        <v/>
      </c>
      <c r="Y61" s="8">
        <f t="array" ref="Y61">SUM($B61:$J61*TRANSPOSE(Y$47:Y$55))</f>
        <v/>
      </c>
    </row>
    <row r="62"/>
    <row r="63"/>
    <row r="64" ht="21" customHeight="1">
      <c r="A64" s="3" t="inlineStr">
        <is>
          <t>Room</t>
        </is>
      </c>
      <c r="B64" s="4" t="inlineStr">
        <is>
          <t>Swim Up Double Room (DBMP)</t>
        </is>
      </c>
      <c r="C64" s="4" t="inlineStr">
        <is>
          <t>Standard</t>
        </is>
      </c>
    </row>
    <row r="65"/>
    <row r="66">
      <c r="I66" s="1" t="inlineStr">
        <is>
          <t>Bed prices</t>
        </is>
      </c>
      <c r="K66" s="10" t="inlineStr">
        <is>
          <t>All  Inclusive</t>
        </is>
      </c>
      <c r="M66" s="8" t="inlineStr">
        <is>
          <t>All  Inclusive</t>
        </is>
      </c>
      <c r="O66" s="9" t="inlineStr">
        <is>
          <t>All  Inclusive</t>
        </is>
      </c>
      <c r="Q66" s="10" t="inlineStr">
        <is>
          <t>All  Inclusive</t>
        </is>
      </c>
      <c r="S66" s="8" t="inlineStr">
        <is>
          <t>All  Inclusive</t>
        </is>
      </c>
      <c r="U66" s="9" t="inlineStr">
        <is>
          <t>All  Inclusive</t>
        </is>
      </c>
      <c r="W66" s="10" t="inlineStr">
        <is>
          <t>All  Inclusive</t>
        </is>
      </c>
      <c r="Y66" s="8" t="inlineStr">
        <is>
          <t>All  Inclusive</t>
        </is>
      </c>
    </row>
    <row r="67">
      <c r="I67" s="5" t="inlineStr">
        <is>
          <t>Adult</t>
        </is>
      </c>
      <c r="J67" s="5" t="inlineStr">
        <is>
          <t>MB</t>
        </is>
      </c>
      <c r="K67" s="16" t="n"/>
      <c r="L67" s="13" t="n"/>
      <c r="M67" s="18" t="n"/>
      <c r="N67" s="13" t="n"/>
      <c r="O67" s="12" t="n"/>
      <c r="P67" s="13" t="n"/>
      <c r="Q67" s="16" t="n"/>
      <c r="R67" s="13" t="n"/>
      <c r="S67" s="18" t="n"/>
      <c r="T67" s="13" t="n"/>
      <c r="U67" s="12" t="n"/>
      <c r="V67" s="13" t="n"/>
      <c r="W67" s="16" t="n"/>
      <c r="X67" s="13" t="n"/>
      <c r="Y67" s="18" t="n"/>
    </row>
    <row r="68">
      <c r="I68" s="5" t="n"/>
      <c r="J68" s="5" t="inlineStr">
        <is>
          <t>ExB</t>
        </is>
      </c>
      <c r="K68" s="15" t="n"/>
      <c r="L68" s="14" t="n"/>
      <c r="M68" s="17" t="n"/>
      <c r="N68" s="14" t="n"/>
      <c r="O68" s="11" t="n"/>
      <c r="P68" s="14" t="n"/>
      <c r="Q68" s="15" t="n"/>
      <c r="R68" s="14" t="n"/>
      <c r="S68" s="17" t="n"/>
      <c r="T68" s="14" t="n"/>
      <c r="U68" s="11" t="n"/>
      <c r="V68" s="14" t="n"/>
      <c r="W68" s="15" t="n"/>
      <c r="X68" s="14" t="n"/>
      <c r="Y68" s="17" t="n"/>
    </row>
    <row r="69">
      <c r="I69" s="5" t="n"/>
      <c r="J69" s="5" t="inlineStr">
        <is>
          <t>W/oB</t>
        </is>
      </c>
      <c r="K69" s="15" t="n"/>
      <c r="L69" s="14" t="n"/>
      <c r="M69" s="17" t="n"/>
      <c r="N69" s="14" t="n"/>
      <c r="O69" s="11" t="n"/>
      <c r="P69" s="14" t="n"/>
      <c r="Q69" s="15" t="n"/>
      <c r="R69" s="14" t="n"/>
      <c r="S69" s="17" t="n"/>
      <c r="T69" s="14" t="n"/>
      <c r="U69" s="11" t="n"/>
      <c r="V69" s="14" t="n"/>
      <c r="W69" s="15" t="n"/>
      <c r="X69" s="14" t="n"/>
      <c r="Y69" s="17" t="n"/>
    </row>
    <row r="70">
      <c r="I70" s="6" t="inlineStr">
        <is>
          <t>Child 2-12</t>
        </is>
      </c>
      <c r="J70" s="6" t="inlineStr">
        <is>
          <t>MB</t>
        </is>
      </c>
      <c r="K70" s="15" t="n"/>
      <c r="L70" s="14" t="n"/>
      <c r="M70" s="17" t="n"/>
      <c r="N70" s="14" t="n"/>
      <c r="O70" s="11" t="n"/>
      <c r="P70" s="14" t="n"/>
      <c r="Q70" s="15" t="n"/>
      <c r="R70" s="14" t="n"/>
      <c r="S70" s="17" t="n"/>
      <c r="T70" s="14" t="n"/>
      <c r="U70" s="11" t="n"/>
      <c r="V70" s="14" t="n"/>
      <c r="W70" s="15" t="n"/>
      <c r="X70" s="14" t="n"/>
      <c r="Y70" s="17" t="n"/>
    </row>
    <row r="71">
      <c r="I71" s="6" t="n"/>
      <c r="J71" s="6" t="inlineStr">
        <is>
          <t>ExB</t>
        </is>
      </c>
      <c r="K71" s="15" t="n"/>
      <c r="L71" s="14" t="n"/>
      <c r="M71" s="17" t="n"/>
      <c r="N71" s="14" t="n"/>
      <c r="O71" s="11" t="n"/>
      <c r="P71" s="14" t="n"/>
      <c r="Q71" s="15" t="n"/>
      <c r="R71" s="14" t="n"/>
      <c r="S71" s="17" t="n"/>
      <c r="T71" s="14" t="n"/>
      <c r="U71" s="11" t="n"/>
      <c r="V71" s="14" t="n"/>
      <c r="W71" s="15" t="n"/>
      <c r="X71" s="14" t="n"/>
      <c r="Y71" s="17" t="n"/>
    </row>
    <row r="72">
      <c r="I72" s="6" t="n"/>
      <c r="J72" s="6" t="inlineStr">
        <is>
          <t>W/oB</t>
        </is>
      </c>
      <c r="K72" s="15" t="n"/>
      <c r="L72" s="14" t="n"/>
      <c r="M72" s="17" t="n"/>
      <c r="N72" s="14" t="n"/>
      <c r="O72" s="11" t="n"/>
      <c r="P72" s="14" t="n"/>
      <c r="Q72" s="15" t="n"/>
      <c r="R72" s="14" t="n"/>
      <c r="S72" s="17" t="n"/>
      <c r="T72" s="14" t="n"/>
      <c r="U72" s="11" t="n"/>
      <c r="V72" s="14" t="n"/>
      <c r="W72" s="15" t="n"/>
      <c r="X72" s="14" t="n"/>
      <c r="Y72" s="17" t="n"/>
    </row>
    <row r="73">
      <c r="I73" s="7" t="inlineStr">
        <is>
          <t>Infant 0-1</t>
        </is>
      </c>
      <c r="J73" s="7" t="inlineStr">
        <is>
          <t>MB</t>
        </is>
      </c>
      <c r="K73" s="15" t="n"/>
      <c r="L73" s="14" t="n"/>
      <c r="M73" s="17" t="n"/>
      <c r="N73" s="14" t="n"/>
      <c r="O73" s="11" t="n"/>
      <c r="P73" s="14" t="n"/>
      <c r="Q73" s="15" t="n"/>
      <c r="R73" s="14" t="n"/>
      <c r="S73" s="17" t="n"/>
      <c r="T73" s="14" t="n"/>
      <c r="U73" s="11" t="n"/>
      <c r="V73" s="14" t="n"/>
      <c r="W73" s="15" t="n"/>
      <c r="X73" s="14" t="n"/>
      <c r="Y73" s="17" t="n"/>
    </row>
    <row r="74">
      <c r="I74" s="7" t="n"/>
      <c r="J74" s="7" t="inlineStr">
        <is>
          <t>ExB</t>
        </is>
      </c>
      <c r="K74" s="15" t="n"/>
      <c r="L74" s="14" t="n"/>
      <c r="M74" s="17" t="n"/>
      <c r="N74" s="14" t="n"/>
      <c r="O74" s="11" t="n"/>
      <c r="P74" s="14" t="n"/>
      <c r="Q74" s="15" t="n"/>
      <c r="R74" s="14" t="n"/>
      <c r="S74" s="17" t="n"/>
      <c r="T74" s="14" t="n"/>
      <c r="U74" s="11" t="n"/>
      <c r="V74" s="14" t="n"/>
      <c r="W74" s="15" t="n"/>
      <c r="X74" s="14" t="n"/>
      <c r="Y74" s="17" t="n"/>
    </row>
    <row r="75">
      <c r="I75" s="7" t="n"/>
      <c r="J75" s="7" t="inlineStr">
        <is>
          <t>W/oB</t>
        </is>
      </c>
      <c r="K75" s="15" t="n"/>
      <c r="L75" s="14" t="n"/>
      <c r="M75" s="17" t="n"/>
      <c r="N75" s="14" t="n"/>
      <c r="O75" s="11" t="n"/>
      <c r="P75" s="14" t="n"/>
      <c r="Q75" s="15" t="n"/>
      <c r="R75" s="14" t="n"/>
      <c r="S75" s="17" t="n"/>
      <c r="T75" s="14" t="n"/>
      <c r="U75" s="11" t="n"/>
      <c r="V75" s="14" t="n"/>
      <c r="W75" s="15" t="n"/>
      <c r="X75" s="14" t="n"/>
      <c r="Y75" s="17" t="n"/>
    </row>
    <row r="76">
      <c r="K76" s="10" t="n"/>
      <c r="M76" s="8" t="n"/>
      <c r="O76" s="9" t="n"/>
      <c r="Q76" s="10" t="n"/>
      <c r="S76" s="8" t="n"/>
      <c r="U76" s="9" t="n"/>
      <c r="W76" s="10" t="n"/>
      <c r="Y76" s="8" t="n"/>
    </row>
    <row r="77" ht="18" customHeight="1">
      <c r="A77" s="19" t="inlineStr">
        <is>
          <t>Prices</t>
        </is>
      </c>
      <c r="B77" s="35" t="inlineStr">
        <is>
          <t>Adult</t>
        </is>
      </c>
      <c r="E77" s="37" t="inlineStr">
        <is>
          <t>Child 2-12</t>
        </is>
      </c>
      <c r="H77" s="39" t="inlineStr">
        <is>
          <t>Infant 0-1</t>
        </is>
      </c>
      <c r="K77" s="25" t="inlineStr">
        <is>
          <t>01/11/2026</t>
        </is>
      </c>
      <c r="L77" s="10" t="inlineStr">
        <is>
          <t>min stay 3</t>
        </is>
      </c>
      <c r="M77" s="23" t="inlineStr">
        <is>
          <t>24/12/2026</t>
        </is>
      </c>
      <c r="N77" s="8" t="inlineStr">
        <is>
          <t>min stay 3</t>
        </is>
      </c>
      <c r="O77" s="24" t="inlineStr">
        <is>
          <t>02/01/2027</t>
        </is>
      </c>
      <c r="P77" s="9" t="inlineStr">
        <is>
          <t>min stay 3</t>
        </is>
      </c>
      <c r="Q77" s="25" t="inlineStr">
        <is>
          <t>30/01/2027</t>
        </is>
      </c>
      <c r="R77" s="10" t="inlineStr">
        <is>
          <t>min stay 3</t>
        </is>
      </c>
      <c r="S77" s="23" t="inlineStr">
        <is>
          <t>01/04/2027</t>
        </is>
      </c>
      <c r="T77" s="8" t="inlineStr">
        <is>
          <t>min stay 3</t>
        </is>
      </c>
      <c r="U77" s="24" t="inlineStr">
        <is>
          <t>01/05/2027</t>
        </is>
      </c>
      <c r="V77" s="9" t="inlineStr">
        <is>
          <t>min stay 3</t>
        </is>
      </c>
      <c r="W77" s="25" t="inlineStr">
        <is>
          <t>10/07/2027</t>
        </is>
      </c>
      <c r="X77" s="10" t="inlineStr">
        <is>
          <t>min stay 3</t>
        </is>
      </c>
      <c r="Y77" s="23" t="inlineStr">
        <is>
          <t>21/08/2027</t>
        </is>
      </c>
      <c r="Z77" s="8" t="inlineStr">
        <is>
          <t>min stay 3</t>
        </is>
      </c>
    </row>
    <row r="78">
      <c r="B78" s="5" t="n">
        <v>13</v>
      </c>
      <c r="C78" s="5" t="n">
        <v>150</v>
      </c>
      <c r="D78" s="5" t="n"/>
      <c r="E78" s="6" t="n">
        <v>2</v>
      </c>
      <c r="F78" s="6" t="n">
        <v>12</v>
      </c>
      <c r="G78" s="6" t="n"/>
      <c r="H78" s="7" t="n">
        <v>0</v>
      </c>
      <c r="I78" s="7" t="n">
        <v>1</v>
      </c>
      <c r="J78" s="7" t="n"/>
      <c r="K78" s="25" t="inlineStr">
        <is>
          <t>23/12/2026</t>
        </is>
      </c>
      <c r="L78" s="10" t="inlineStr">
        <is>
          <t>type Contract Rate</t>
        </is>
      </c>
      <c r="M78" s="23" t="inlineStr">
        <is>
          <t>01/01/2027</t>
        </is>
      </c>
      <c r="N78" s="8" t="inlineStr">
        <is>
          <t>type Contract Rate</t>
        </is>
      </c>
      <c r="O78" s="24" t="inlineStr">
        <is>
          <t>29/01/2027</t>
        </is>
      </c>
      <c r="P78" s="9" t="inlineStr">
        <is>
          <t>type Contract Rate</t>
        </is>
      </c>
      <c r="Q78" s="25" t="inlineStr">
        <is>
          <t>31/03/2027</t>
        </is>
      </c>
      <c r="R78" s="10" t="inlineStr">
        <is>
          <t>type Contract Rate</t>
        </is>
      </c>
      <c r="S78" s="23" t="inlineStr">
        <is>
          <t>30/04/2027</t>
        </is>
      </c>
      <c r="T78" s="8" t="inlineStr">
        <is>
          <t>type Contract Rate</t>
        </is>
      </c>
      <c r="U78" s="24" t="inlineStr">
        <is>
          <t>09/07/2027</t>
        </is>
      </c>
      <c r="V78" s="9" t="inlineStr">
        <is>
          <t>type Contract Rate</t>
        </is>
      </c>
      <c r="W78" s="25" t="inlineStr">
        <is>
          <t>20/08/2027</t>
        </is>
      </c>
      <c r="X78" s="10" t="inlineStr">
        <is>
          <t>type Contract Rate</t>
        </is>
      </c>
      <c r="Y78" s="23" t="inlineStr">
        <is>
          <t>31/10/2027</t>
        </is>
      </c>
      <c r="Z78" s="8" t="inlineStr">
        <is>
          <t>type Contract Rate</t>
        </is>
      </c>
    </row>
    <row r="79">
      <c r="B79" s="36" t="inlineStr">
        <is>
          <t>MB</t>
        </is>
      </c>
      <c r="C79" s="36" t="inlineStr">
        <is>
          <t>ExB</t>
        </is>
      </c>
      <c r="D79" s="36" t="inlineStr">
        <is>
          <t>W/oB</t>
        </is>
      </c>
      <c r="E79" s="38" t="inlineStr">
        <is>
          <t>MB</t>
        </is>
      </c>
      <c r="F79" s="38" t="inlineStr">
        <is>
          <t>ExB</t>
        </is>
      </c>
      <c r="G79" s="38" t="inlineStr">
        <is>
          <t>W/oB</t>
        </is>
      </c>
      <c r="H79" s="40" t="inlineStr">
        <is>
          <t>MB</t>
        </is>
      </c>
      <c r="I79" s="40" t="inlineStr">
        <is>
          <t>ExB</t>
        </is>
      </c>
      <c r="J79" s="40" t="inlineStr">
        <is>
          <t>W/oB</t>
        </is>
      </c>
      <c r="K79" s="10" t="inlineStr">
        <is>
          <t>All  Inclusive</t>
        </is>
      </c>
      <c r="M79" s="8" t="inlineStr">
        <is>
          <t>All  Inclusive</t>
        </is>
      </c>
      <c r="O79" s="9" t="inlineStr">
        <is>
          <t>All  Inclusive</t>
        </is>
      </c>
      <c r="Q79" s="10" t="inlineStr">
        <is>
          <t>All  Inclusive</t>
        </is>
      </c>
      <c r="S79" s="8" t="inlineStr">
        <is>
          <t>All  Inclusive</t>
        </is>
      </c>
      <c r="U79" s="9" t="inlineStr">
        <is>
          <t>All  Inclusive</t>
        </is>
      </c>
      <c r="W79" s="10" t="inlineStr">
        <is>
          <t>All  Inclusive</t>
        </is>
      </c>
      <c r="Y79" s="8" t="inlineStr">
        <is>
          <t>All  Inclusive</t>
        </is>
      </c>
    </row>
    <row r="80" customFormat="1" s="31">
      <c r="A80" s="26" t="inlineStr">
        <is>
          <t>1A</t>
        </is>
      </c>
      <c r="B80" s="27" t="n">
        <v>1</v>
      </c>
      <c r="C80" s="27" t="n"/>
      <c r="D80" s="27" t="n"/>
      <c r="E80" s="28" t="n"/>
      <c r="F80" s="28" t="n"/>
      <c r="G80" s="28" t="n"/>
      <c r="H80" s="29" t="n"/>
      <c r="I80" s="29" t="n"/>
      <c r="J80" s="29" t="n"/>
      <c r="K80" s="30">
        <f>K67*1.6</f>
        <v/>
      </c>
      <c r="M80" s="30">
        <f>M67*1.6</f>
        <v/>
      </c>
      <c r="N80" s="30">
        <f>N67*1.6</f>
        <v/>
      </c>
      <c r="O80" s="30">
        <f>O67*1.6</f>
        <v/>
      </c>
      <c r="P80" s="30">
        <f>P67*1.6</f>
        <v/>
      </c>
      <c r="Q80" s="30">
        <f>Q67*1.6</f>
        <v/>
      </c>
      <c r="R80" s="30">
        <f>R67*1.6</f>
        <v/>
      </c>
      <c r="S80" s="30">
        <f>S67*1.6</f>
        <v/>
      </c>
      <c r="T80" s="30">
        <f>T67*1.6</f>
        <v/>
      </c>
      <c r="U80" s="30">
        <f>U67*1.6</f>
        <v/>
      </c>
      <c r="V80" s="30">
        <f>V67*1.6</f>
        <v/>
      </c>
      <c r="W80" s="30">
        <f>W67*1.6</f>
        <v/>
      </c>
      <c r="X80" s="30">
        <f>X67*1.6</f>
        <v/>
      </c>
      <c r="Y80" s="30">
        <f>Y67*1.6</f>
        <v/>
      </c>
    </row>
    <row r="81">
      <c r="A81" s="2" t="inlineStr">
        <is>
          <t>2A</t>
        </is>
      </c>
      <c r="B81" s="36" t="n">
        <v>2</v>
      </c>
      <c r="C81" s="36" t="n"/>
      <c r="D81" s="36" t="n"/>
      <c r="E81" s="38" t="n"/>
      <c r="F81" s="38" t="n"/>
      <c r="G81" s="38" t="n"/>
      <c r="H81" s="40" t="n"/>
      <c r="I81" s="40" t="n"/>
      <c r="J81" s="40" t="n"/>
      <c r="K81" s="10">
        <f t="array" ref="K81">SUM($B81:$J81*TRANSPOSE(K$67:K$75))</f>
        <v/>
      </c>
      <c r="M81" s="8">
        <f t="array" ref="M81">SUM($B81:$J81*TRANSPOSE(M$67:M$75))</f>
        <v/>
      </c>
      <c r="O81" s="9">
        <f t="array" ref="O81">SUM($B81:$J81*TRANSPOSE(O$67:O$75))</f>
        <v/>
      </c>
      <c r="Q81" s="10">
        <f t="array" ref="Q81">SUM($B81:$J81*TRANSPOSE(Q$67:Q$75))</f>
        <v/>
      </c>
      <c r="S81" s="8">
        <f t="array" ref="S81">SUM($B81:$J81*TRANSPOSE(S$67:S$75))</f>
        <v/>
      </c>
      <c r="U81" s="9">
        <f t="array" ref="U81">SUM($B81:$J81*TRANSPOSE(U$67:U$75))</f>
        <v/>
      </c>
      <c r="W81" s="10">
        <f t="array" ref="W81">SUM($B81:$J81*TRANSPOSE(W$67:W$75))</f>
        <v/>
      </c>
      <c r="Y81" s="8">
        <f t="array" ref="Y81">SUM($B81:$J81*TRANSPOSE(Y$67:Y$75))</f>
        <v/>
      </c>
    </row>
    <row r="82"/>
    <row r="83"/>
    <row r="84" ht="21" customHeight="1">
      <c r="A84" s="3" t="inlineStr">
        <is>
          <t>Room</t>
        </is>
      </c>
      <c r="B84" s="4" t="inlineStr">
        <is>
          <t>Suite Frontal Sea View (SUFB)</t>
        </is>
      </c>
      <c r="C84" s="4" t="inlineStr">
        <is>
          <t>Suite</t>
        </is>
      </c>
    </row>
    <row r="85"/>
    <row r="86">
      <c r="I86" s="1" t="inlineStr">
        <is>
          <t>Bed prices</t>
        </is>
      </c>
      <c r="K86" s="10" t="inlineStr">
        <is>
          <t>All  Inclusive</t>
        </is>
      </c>
      <c r="M86" s="8" t="inlineStr">
        <is>
          <t>All  Inclusive</t>
        </is>
      </c>
      <c r="O86" s="9" t="inlineStr">
        <is>
          <t>All  Inclusive</t>
        </is>
      </c>
      <c r="Q86" s="10" t="inlineStr">
        <is>
          <t>All  Inclusive</t>
        </is>
      </c>
      <c r="S86" s="8" t="inlineStr">
        <is>
          <t>All  Inclusive</t>
        </is>
      </c>
      <c r="U86" s="9" t="inlineStr">
        <is>
          <t>All  Inclusive</t>
        </is>
      </c>
      <c r="W86" s="10" t="inlineStr">
        <is>
          <t>All  Inclusive</t>
        </is>
      </c>
      <c r="Y86" s="8" t="inlineStr">
        <is>
          <t>All  Inclusive</t>
        </is>
      </c>
    </row>
    <row r="87">
      <c r="I87" s="5" t="inlineStr">
        <is>
          <t>Adult</t>
        </is>
      </c>
      <c r="J87" s="5" t="inlineStr">
        <is>
          <t>MB</t>
        </is>
      </c>
      <c r="K87" s="16" t="n"/>
      <c r="L87" s="13" t="n"/>
      <c r="M87" s="18" t="n"/>
      <c r="N87" s="13" t="n"/>
      <c r="O87" s="12" t="n"/>
      <c r="P87" s="13" t="n"/>
      <c r="Q87" s="16" t="n"/>
      <c r="R87" s="13" t="n"/>
      <c r="S87" s="18" t="n"/>
      <c r="T87" s="13" t="n"/>
      <c r="U87" s="12" t="n"/>
      <c r="V87" s="13" t="n"/>
      <c r="W87" s="16" t="n"/>
      <c r="X87" s="13" t="n"/>
      <c r="Y87" s="18" t="n"/>
    </row>
    <row r="88">
      <c r="I88" s="5" t="n"/>
      <c r="J88" s="5" t="inlineStr">
        <is>
          <t>ExB</t>
        </is>
      </c>
      <c r="K88" s="15" t="n"/>
      <c r="L88" s="14" t="n"/>
      <c r="M88" s="17" t="n"/>
      <c r="N88" s="14" t="n"/>
      <c r="O88" s="11" t="n"/>
      <c r="P88" s="14" t="n"/>
      <c r="Q88" s="15" t="n"/>
      <c r="R88" s="14" t="n"/>
      <c r="S88" s="17" t="n"/>
      <c r="T88" s="14" t="n"/>
      <c r="U88" s="11" t="n"/>
      <c r="V88" s="14" t="n"/>
      <c r="W88" s="15" t="n"/>
      <c r="X88" s="14" t="n"/>
      <c r="Y88" s="17" t="n"/>
    </row>
    <row r="89">
      <c r="I89" s="5" t="n"/>
      <c r="J89" s="5" t="inlineStr">
        <is>
          <t>W/oB</t>
        </is>
      </c>
      <c r="K89" s="15" t="n"/>
      <c r="L89" s="14" t="n"/>
      <c r="M89" s="17" t="n"/>
      <c r="N89" s="14" t="n"/>
      <c r="O89" s="11" t="n"/>
      <c r="P89" s="14" t="n"/>
      <c r="Q89" s="15" t="n"/>
      <c r="R89" s="14" t="n"/>
      <c r="S89" s="17" t="n"/>
      <c r="T89" s="14" t="n"/>
      <c r="U89" s="11" t="n"/>
      <c r="V89" s="14" t="n"/>
      <c r="W89" s="15" t="n"/>
      <c r="X89" s="14" t="n"/>
      <c r="Y89" s="17" t="n"/>
    </row>
    <row r="90">
      <c r="I90" s="6" t="inlineStr">
        <is>
          <t>Child 2-12</t>
        </is>
      </c>
      <c r="J90" s="6" t="inlineStr">
        <is>
          <t>MB</t>
        </is>
      </c>
      <c r="K90" s="15" t="n"/>
      <c r="L90" s="14" t="n"/>
      <c r="M90" s="17" t="n"/>
      <c r="N90" s="14" t="n"/>
      <c r="O90" s="11" t="n"/>
      <c r="P90" s="14" t="n"/>
      <c r="Q90" s="15" t="n"/>
      <c r="R90" s="14" t="n"/>
      <c r="S90" s="17" t="n"/>
      <c r="T90" s="14" t="n"/>
      <c r="U90" s="11" t="n"/>
      <c r="V90" s="14" t="n"/>
      <c r="W90" s="15" t="n"/>
      <c r="X90" s="14" t="n"/>
      <c r="Y90" s="17" t="n"/>
    </row>
    <row r="91">
      <c r="I91" s="6" t="n"/>
      <c r="J91" s="6" t="inlineStr">
        <is>
          <t>ExB</t>
        </is>
      </c>
      <c r="K91" s="15" t="n"/>
      <c r="L91" s="14" t="n"/>
      <c r="M91" s="17" t="n"/>
      <c r="N91" s="14" t="n"/>
      <c r="O91" s="11" t="n"/>
      <c r="P91" s="14" t="n"/>
      <c r="Q91" s="15" t="n"/>
      <c r="R91" s="14" t="n"/>
      <c r="S91" s="17" t="n"/>
      <c r="T91" s="14" t="n"/>
      <c r="U91" s="11" t="n"/>
      <c r="V91" s="14" t="n"/>
      <c r="W91" s="15" t="n"/>
      <c r="X91" s="14" t="n"/>
      <c r="Y91" s="17" t="n"/>
    </row>
    <row r="92">
      <c r="I92" s="6" t="n"/>
      <c r="J92" s="6" t="inlineStr">
        <is>
          <t>W/oB</t>
        </is>
      </c>
      <c r="K92" s="15" t="n"/>
      <c r="L92" s="14" t="n"/>
      <c r="M92" s="17" t="n"/>
      <c r="N92" s="14" t="n"/>
      <c r="O92" s="11" t="n"/>
      <c r="P92" s="14" t="n"/>
      <c r="Q92" s="15" t="n"/>
      <c r="R92" s="14" t="n"/>
      <c r="S92" s="17" t="n"/>
      <c r="T92" s="14" t="n"/>
      <c r="U92" s="11" t="n"/>
      <c r="V92" s="14" t="n"/>
      <c r="W92" s="15" t="n"/>
      <c r="X92" s="14" t="n"/>
      <c r="Y92" s="17" t="n"/>
    </row>
    <row r="93">
      <c r="I93" s="7" t="inlineStr">
        <is>
          <t>Infant 0-1</t>
        </is>
      </c>
      <c r="J93" s="7" t="inlineStr">
        <is>
          <t>MB</t>
        </is>
      </c>
      <c r="K93" s="15" t="n"/>
      <c r="L93" s="14" t="n"/>
      <c r="M93" s="17" t="n"/>
      <c r="N93" s="14" t="n"/>
      <c r="O93" s="11" t="n"/>
      <c r="P93" s="14" t="n"/>
      <c r="Q93" s="15" t="n"/>
      <c r="R93" s="14" t="n"/>
      <c r="S93" s="17" t="n"/>
      <c r="T93" s="14" t="n"/>
      <c r="U93" s="11" t="n"/>
      <c r="V93" s="14" t="n"/>
      <c r="W93" s="15" t="n"/>
      <c r="X93" s="14" t="n"/>
      <c r="Y93" s="17" t="n"/>
    </row>
    <row r="94">
      <c r="I94" s="7" t="n"/>
      <c r="J94" s="7" t="inlineStr">
        <is>
          <t>ExB</t>
        </is>
      </c>
      <c r="K94" s="15" t="n"/>
      <c r="L94" s="14" t="n"/>
      <c r="M94" s="17" t="n"/>
      <c r="N94" s="14" t="n"/>
      <c r="O94" s="11" t="n"/>
      <c r="P94" s="14" t="n"/>
      <c r="Q94" s="15" t="n"/>
      <c r="R94" s="14" t="n"/>
      <c r="S94" s="17" t="n"/>
      <c r="T94" s="14" t="n"/>
      <c r="U94" s="11" t="n"/>
      <c r="V94" s="14" t="n"/>
      <c r="W94" s="15" t="n"/>
      <c r="X94" s="14" t="n"/>
      <c r="Y94" s="17" t="n"/>
    </row>
    <row r="95">
      <c r="I95" s="7" t="n"/>
      <c r="J95" s="7" t="inlineStr">
        <is>
          <t>W/oB</t>
        </is>
      </c>
      <c r="K95" s="15" t="n"/>
      <c r="L95" s="14" t="n"/>
      <c r="M95" s="17" t="n"/>
      <c r="N95" s="14" t="n"/>
      <c r="O95" s="11" t="n"/>
      <c r="P95" s="14" t="n"/>
      <c r="Q95" s="15" t="n"/>
      <c r="R95" s="14" t="n"/>
      <c r="S95" s="17" t="n"/>
      <c r="T95" s="14" t="n"/>
      <c r="U95" s="11" t="n"/>
      <c r="V95" s="14" t="n"/>
      <c r="W95" s="15" t="n"/>
      <c r="X95" s="14" t="n"/>
      <c r="Y95" s="17" t="n"/>
    </row>
    <row r="96">
      <c r="K96" s="10" t="n"/>
      <c r="M96" s="8" t="n"/>
      <c r="O96" s="9" t="n"/>
      <c r="Q96" s="10" t="n"/>
      <c r="S96" s="8" t="n"/>
      <c r="U96" s="9" t="n"/>
      <c r="W96" s="10" t="n"/>
      <c r="Y96" s="8" t="n"/>
    </row>
    <row r="97" ht="18" customHeight="1">
      <c r="A97" s="19" t="inlineStr">
        <is>
          <t>Prices</t>
        </is>
      </c>
      <c r="B97" s="35" t="inlineStr">
        <is>
          <t>Adult</t>
        </is>
      </c>
      <c r="E97" s="37" t="inlineStr">
        <is>
          <t>Child 2-12</t>
        </is>
      </c>
      <c r="H97" s="39" t="inlineStr">
        <is>
          <t>Infant 0-1</t>
        </is>
      </c>
      <c r="K97" s="25" t="inlineStr">
        <is>
          <t>01/11/2026</t>
        </is>
      </c>
      <c r="L97" s="10" t="inlineStr">
        <is>
          <t>min stay 3</t>
        </is>
      </c>
      <c r="M97" s="23" t="inlineStr">
        <is>
          <t>24/12/2026</t>
        </is>
      </c>
      <c r="N97" s="8" t="inlineStr">
        <is>
          <t>min stay 3</t>
        </is>
      </c>
      <c r="O97" s="24" t="inlineStr">
        <is>
          <t>02/01/2027</t>
        </is>
      </c>
      <c r="P97" s="9" t="inlineStr">
        <is>
          <t>min stay 3</t>
        </is>
      </c>
      <c r="Q97" s="25" t="inlineStr">
        <is>
          <t>30/01/2027</t>
        </is>
      </c>
      <c r="R97" s="10" t="inlineStr">
        <is>
          <t>min stay 3</t>
        </is>
      </c>
      <c r="S97" s="23" t="inlineStr">
        <is>
          <t>01/04/2027</t>
        </is>
      </c>
      <c r="T97" s="8" t="inlineStr">
        <is>
          <t>min stay 3</t>
        </is>
      </c>
      <c r="U97" s="24" t="inlineStr">
        <is>
          <t>01/05/2027</t>
        </is>
      </c>
      <c r="V97" s="9" t="inlineStr">
        <is>
          <t>min stay 3</t>
        </is>
      </c>
      <c r="W97" s="25" t="inlineStr">
        <is>
          <t>10/07/2027</t>
        </is>
      </c>
      <c r="X97" s="10" t="inlineStr">
        <is>
          <t>min stay 3</t>
        </is>
      </c>
      <c r="Y97" s="23" t="inlineStr">
        <is>
          <t>21/08/2027</t>
        </is>
      </c>
      <c r="Z97" s="8" t="inlineStr">
        <is>
          <t>min stay 3</t>
        </is>
      </c>
    </row>
    <row r="98">
      <c r="B98" s="5" t="n">
        <v>13</v>
      </c>
      <c r="C98" s="5" t="n">
        <v>150</v>
      </c>
      <c r="D98" s="5" t="n"/>
      <c r="E98" s="6" t="n">
        <v>2</v>
      </c>
      <c r="F98" s="6" t="n">
        <v>12</v>
      </c>
      <c r="G98" s="6" t="n"/>
      <c r="H98" s="7" t="n">
        <v>0</v>
      </c>
      <c r="I98" s="7" t="n">
        <v>1</v>
      </c>
      <c r="J98" s="7" t="n"/>
      <c r="K98" s="25" t="inlineStr">
        <is>
          <t>23/12/2026</t>
        </is>
      </c>
      <c r="L98" s="10" t="inlineStr">
        <is>
          <t>type Contract Rate</t>
        </is>
      </c>
      <c r="M98" s="23" t="inlineStr">
        <is>
          <t>01/01/2027</t>
        </is>
      </c>
      <c r="N98" s="8" t="inlineStr">
        <is>
          <t>type Contract Rate</t>
        </is>
      </c>
      <c r="O98" s="24" t="inlineStr">
        <is>
          <t>29/01/2027</t>
        </is>
      </c>
      <c r="P98" s="9" t="inlineStr">
        <is>
          <t>type Contract Rate</t>
        </is>
      </c>
      <c r="Q98" s="25" t="inlineStr">
        <is>
          <t>31/03/2027</t>
        </is>
      </c>
      <c r="R98" s="10" t="inlineStr">
        <is>
          <t>type Contract Rate</t>
        </is>
      </c>
      <c r="S98" s="23" t="inlineStr">
        <is>
          <t>30/04/2027</t>
        </is>
      </c>
      <c r="T98" s="8" t="inlineStr">
        <is>
          <t>type Contract Rate</t>
        </is>
      </c>
      <c r="U98" s="24" t="inlineStr">
        <is>
          <t>09/07/2027</t>
        </is>
      </c>
      <c r="V98" s="9" t="inlineStr">
        <is>
          <t>type Contract Rate</t>
        </is>
      </c>
      <c r="W98" s="25" t="inlineStr">
        <is>
          <t>20/08/2027</t>
        </is>
      </c>
      <c r="X98" s="10" t="inlineStr">
        <is>
          <t>type Contract Rate</t>
        </is>
      </c>
      <c r="Y98" s="23" t="inlineStr">
        <is>
          <t>31/10/2027</t>
        </is>
      </c>
      <c r="Z98" s="8" t="inlineStr">
        <is>
          <t>type Contract Rate</t>
        </is>
      </c>
    </row>
    <row r="99">
      <c r="B99" s="36" t="inlineStr">
        <is>
          <t>MB</t>
        </is>
      </c>
      <c r="C99" s="36" t="inlineStr">
        <is>
          <t>ExB</t>
        </is>
      </c>
      <c r="D99" s="36" t="inlineStr">
        <is>
          <t>W/oB</t>
        </is>
      </c>
      <c r="E99" s="38" t="inlineStr">
        <is>
          <t>MB</t>
        </is>
      </c>
      <c r="F99" s="38" t="inlineStr">
        <is>
          <t>ExB</t>
        </is>
      </c>
      <c r="G99" s="38" t="inlineStr">
        <is>
          <t>W/oB</t>
        </is>
      </c>
      <c r="H99" s="40" t="inlineStr">
        <is>
          <t>MB</t>
        </is>
      </c>
      <c r="I99" s="40" t="inlineStr">
        <is>
          <t>ExB</t>
        </is>
      </c>
      <c r="J99" s="40" t="inlineStr">
        <is>
          <t>W/oB</t>
        </is>
      </c>
      <c r="K99" s="10" t="inlineStr">
        <is>
          <t>All  Inclusive</t>
        </is>
      </c>
      <c r="M99" s="8" t="inlineStr">
        <is>
          <t>All  Inclusive</t>
        </is>
      </c>
      <c r="O99" s="9" t="inlineStr">
        <is>
          <t>All  Inclusive</t>
        </is>
      </c>
      <c r="Q99" s="10" t="inlineStr">
        <is>
          <t>All  Inclusive</t>
        </is>
      </c>
      <c r="S99" s="8" t="inlineStr">
        <is>
          <t>All  Inclusive</t>
        </is>
      </c>
      <c r="U99" s="9" t="inlineStr">
        <is>
          <t>All  Inclusive</t>
        </is>
      </c>
      <c r="W99" s="10" t="inlineStr">
        <is>
          <t>All  Inclusive</t>
        </is>
      </c>
      <c r="Y99" s="8" t="inlineStr">
        <is>
          <t>All  Inclusive</t>
        </is>
      </c>
    </row>
    <row r="100" customFormat="1" s="31">
      <c r="A100" s="26" t="inlineStr">
        <is>
          <t>1A</t>
        </is>
      </c>
      <c r="B100" s="27" t="n">
        <v>1</v>
      </c>
      <c r="C100" s="27" t="n"/>
      <c r="D100" s="27" t="n"/>
      <c r="E100" s="28" t="n"/>
      <c r="F100" s="28" t="n"/>
      <c r="G100" s="28" t="n"/>
      <c r="H100" s="29" t="n"/>
      <c r="I100" s="29" t="n"/>
      <c r="J100" s="29" t="n"/>
      <c r="K100" s="30">
        <f>K87*1.6</f>
        <v/>
      </c>
      <c r="M100" s="30">
        <f>M87*1.6</f>
        <v/>
      </c>
      <c r="N100" s="30">
        <f>N87*1.6</f>
        <v/>
      </c>
      <c r="O100" s="30">
        <f>O87*1.6</f>
        <v/>
      </c>
      <c r="P100" s="30">
        <f>P87*1.6</f>
        <v/>
      </c>
      <c r="Q100" s="30">
        <f>Q87*1.6</f>
        <v/>
      </c>
      <c r="R100" s="30">
        <f>R87*1.6</f>
        <v/>
      </c>
      <c r="S100" s="30">
        <f>S87*1.6</f>
        <v/>
      </c>
      <c r="T100" s="30">
        <f>T87*1.6</f>
        <v/>
      </c>
      <c r="U100" s="30">
        <f>U87*1.6</f>
        <v/>
      </c>
      <c r="V100" s="30">
        <f>V87*1.6</f>
        <v/>
      </c>
      <c r="W100" s="30">
        <f>W87*1.6</f>
        <v/>
      </c>
      <c r="X100" s="30">
        <f>X87*1.6</f>
        <v/>
      </c>
      <c r="Y100" s="30">
        <f>Y87*1.6</f>
        <v/>
      </c>
    </row>
    <row r="101">
      <c r="A101" s="2" t="inlineStr">
        <is>
          <t>2A</t>
        </is>
      </c>
      <c r="B101" s="36" t="n">
        <v>2</v>
      </c>
      <c r="C101" s="36" t="n"/>
      <c r="D101" s="36" t="n"/>
      <c r="E101" s="38" t="n"/>
      <c r="F101" s="38" t="n"/>
      <c r="G101" s="38" t="n"/>
      <c r="H101" s="40" t="n"/>
      <c r="I101" s="40" t="n"/>
      <c r="J101" s="40" t="n"/>
      <c r="K101" s="10">
        <f t="array" ref="K101">SUM($B101:$J101*TRANSPOSE(K$87:K$95))</f>
        <v/>
      </c>
      <c r="M101" s="8">
        <f t="array" ref="M101">SUM($B101:$J101*TRANSPOSE(M$87:M$95))</f>
        <v/>
      </c>
      <c r="O101" s="9">
        <f t="array" ref="O101">SUM($B101:$J101*TRANSPOSE(O$87:O$95))</f>
        <v/>
      </c>
      <c r="Q101" s="10">
        <f t="array" ref="Q101">SUM($B101:$J101*TRANSPOSE(Q$87:Q$95))</f>
        <v/>
      </c>
      <c r="S101" s="8">
        <f t="array" ref="S101">SUM($B101:$J101*TRANSPOSE(S$87:S$95))</f>
        <v/>
      </c>
      <c r="U101" s="9">
        <f t="array" ref="U101">SUM($B101:$J101*TRANSPOSE(U$87:U$95))</f>
        <v/>
      </c>
      <c r="W101" s="10">
        <f t="array" ref="W101">SUM($B101:$J101*TRANSPOSE(W$87:W$95))</f>
        <v/>
      </c>
      <c r="Y101" s="8">
        <f t="array" ref="Y101">SUM($B101:$J101*TRANSPOSE(Y$87:Y$95))</f>
        <v/>
      </c>
    </row>
    <row r="102"/>
    <row r="103"/>
    <row r="104" ht="21" customHeight="1">
      <c r="A104" s="3" t="inlineStr">
        <is>
          <t>Room</t>
        </is>
      </c>
      <c r="B104" s="4" t="inlineStr">
        <is>
          <t>Double Standard (DBSB)</t>
        </is>
      </c>
      <c r="C104" s="4" t="inlineStr">
        <is>
          <t>Standard</t>
        </is>
      </c>
    </row>
    <row r="105"/>
    <row r="106">
      <c r="I106" s="1" t="inlineStr">
        <is>
          <t>Bed prices</t>
        </is>
      </c>
      <c r="K106" s="10" t="inlineStr">
        <is>
          <t>All  Inclusive</t>
        </is>
      </c>
      <c r="M106" s="8" t="inlineStr">
        <is>
          <t>All  Inclusive</t>
        </is>
      </c>
      <c r="O106" s="9" t="inlineStr">
        <is>
          <t>All  Inclusive</t>
        </is>
      </c>
      <c r="Q106" s="10" t="inlineStr">
        <is>
          <t>All  Inclusive</t>
        </is>
      </c>
      <c r="S106" s="8" t="inlineStr">
        <is>
          <t>All  Inclusive</t>
        </is>
      </c>
      <c r="U106" s="9" t="inlineStr">
        <is>
          <t>All  Inclusive</t>
        </is>
      </c>
      <c r="W106" s="10" t="inlineStr">
        <is>
          <t>All  Inclusive</t>
        </is>
      </c>
      <c r="Y106" s="8" t="inlineStr">
        <is>
          <t>All  Inclusive</t>
        </is>
      </c>
    </row>
    <row r="107">
      <c r="I107" s="5" t="inlineStr">
        <is>
          <t>Adult</t>
        </is>
      </c>
      <c r="J107" s="5" t="inlineStr">
        <is>
          <t>MB</t>
        </is>
      </c>
      <c r="K107" s="16" t="n"/>
      <c r="L107" s="13" t="n"/>
      <c r="M107" s="18" t="n"/>
      <c r="N107" s="13" t="n"/>
      <c r="O107" s="12" t="n"/>
      <c r="P107" s="13" t="n"/>
      <c r="Q107" s="16" t="n"/>
      <c r="R107" s="13" t="n"/>
      <c r="S107" s="18" t="n"/>
      <c r="T107" s="13" t="n"/>
      <c r="U107" s="12" t="n"/>
      <c r="V107" s="13" t="n"/>
      <c r="W107" s="16" t="n"/>
      <c r="X107" s="13" t="n"/>
      <c r="Y107" s="18" t="n"/>
    </row>
    <row r="108">
      <c r="I108" s="5" t="n"/>
      <c r="J108" s="5" t="inlineStr">
        <is>
          <t>ExB</t>
        </is>
      </c>
      <c r="K108" s="15">
        <f>K107*0.85</f>
        <v/>
      </c>
      <c r="L108" s="14" t="n"/>
      <c r="M108" s="15">
        <f>M107*0.85</f>
        <v/>
      </c>
      <c r="N108" s="15">
        <f>N107*0.85</f>
        <v/>
      </c>
      <c r="O108" s="15">
        <f>O107*0.85</f>
        <v/>
      </c>
      <c r="P108" s="15">
        <f>P107*0.85</f>
        <v/>
      </c>
      <c r="Q108" s="15">
        <f>Q107*0.85</f>
        <v/>
      </c>
      <c r="R108" s="15">
        <f>R107*0.85</f>
        <v/>
      </c>
      <c r="S108" s="15">
        <f>S107*0.85</f>
        <v/>
      </c>
      <c r="T108" s="15">
        <f>T107*0.85</f>
        <v/>
      </c>
      <c r="U108" s="15">
        <f>U107*0.85</f>
        <v/>
      </c>
      <c r="V108" s="15">
        <f>V107*0.85</f>
        <v/>
      </c>
      <c r="W108" s="15">
        <f>W107*0.85</f>
        <v/>
      </c>
      <c r="X108" s="15">
        <f>X107*0.85</f>
        <v/>
      </c>
      <c r="Y108" s="15">
        <f>Y107*0.85</f>
        <v/>
      </c>
    </row>
    <row r="109">
      <c r="I109" s="5" t="n"/>
      <c r="J109" s="5" t="inlineStr">
        <is>
          <t>W/oB</t>
        </is>
      </c>
      <c r="K109" s="15" t="n"/>
      <c r="L109" s="14" t="n"/>
      <c r="M109" s="17" t="n"/>
      <c r="N109" s="14" t="n"/>
      <c r="O109" s="11" t="n"/>
      <c r="P109" s="14" t="n"/>
      <c r="Q109" s="15" t="n"/>
      <c r="R109" s="14" t="n"/>
      <c r="S109" s="17" t="n"/>
      <c r="T109" s="14" t="n"/>
      <c r="U109" s="11" t="n"/>
      <c r="V109" s="14" t="n"/>
      <c r="W109" s="15" t="n"/>
      <c r="X109" s="14" t="n"/>
      <c r="Y109" s="17" t="n"/>
    </row>
    <row r="110">
      <c r="I110" s="6" t="inlineStr">
        <is>
          <t>Child 2-12</t>
        </is>
      </c>
      <c r="J110" s="6" t="inlineStr">
        <is>
          <t>MB</t>
        </is>
      </c>
      <c r="K110" s="15" t="n"/>
      <c r="L110" s="14" t="n"/>
      <c r="M110" s="17" t="n"/>
      <c r="N110" s="14" t="n"/>
      <c r="O110" s="11" t="n"/>
      <c r="P110" s="14" t="n"/>
      <c r="Q110" s="15" t="n"/>
      <c r="R110" s="14" t="n"/>
      <c r="S110" s="17" t="n"/>
      <c r="T110" s="14" t="n"/>
      <c r="U110" s="11" t="n"/>
      <c r="V110" s="14" t="n"/>
      <c r="W110" s="15" t="n"/>
      <c r="X110" s="14" t="n"/>
      <c r="Y110" s="17" t="n"/>
    </row>
    <row r="111" customFormat="1" s="41">
      <c r="I111" s="42" t="n"/>
      <c r="J111" s="42" t="inlineStr">
        <is>
          <t>ExB</t>
        </is>
      </c>
      <c r="K111" s="43">
        <f>K107*0.5</f>
        <v/>
      </c>
      <c r="L111" s="43" t="n"/>
      <c r="M111" s="43">
        <f>M107*0.5</f>
        <v/>
      </c>
      <c r="N111" s="43">
        <f>N107*0.5</f>
        <v/>
      </c>
      <c r="O111" s="43">
        <f>O107*0.5</f>
        <v/>
      </c>
      <c r="P111" s="43">
        <f>P107*0.5</f>
        <v/>
      </c>
      <c r="Q111" s="43">
        <f>Q107*0.5</f>
        <v/>
      </c>
      <c r="R111" s="43">
        <f>R107*0.5</f>
        <v/>
      </c>
      <c r="S111" s="43">
        <f>S107*0.5</f>
        <v/>
      </c>
      <c r="T111" s="43">
        <f>T107*0.5</f>
        <v/>
      </c>
      <c r="U111" s="43">
        <f>U107*0.5</f>
        <v/>
      </c>
      <c r="V111" s="43">
        <f>V107*0.5</f>
        <v/>
      </c>
      <c r="W111" s="43">
        <f>W107*0.5</f>
        <v/>
      </c>
      <c r="X111" s="43">
        <f>X107*0.5</f>
        <v/>
      </c>
      <c r="Y111" s="43">
        <f>Y107*0.5</f>
        <v/>
      </c>
    </row>
    <row r="112">
      <c r="I112" s="6" t="n"/>
      <c r="J112" s="6" t="inlineStr">
        <is>
          <t>W/oB</t>
        </is>
      </c>
      <c r="K112" s="15" t="n"/>
      <c r="L112" s="14" t="n"/>
      <c r="M112" s="17" t="n"/>
      <c r="N112" s="14" t="n"/>
      <c r="O112" s="11" t="n"/>
      <c r="P112" s="14" t="n"/>
      <c r="Q112" s="15" t="n"/>
      <c r="R112" s="14" t="n"/>
      <c r="S112" s="17" t="n"/>
      <c r="T112" s="14" t="n"/>
      <c r="U112" s="11" t="n"/>
      <c r="V112" s="14" t="n"/>
      <c r="W112" s="15" t="n"/>
      <c r="X112" s="14" t="n"/>
      <c r="Y112" s="17" t="n"/>
    </row>
    <row r="113">
      <c r="I113" s="7" t="inlineStr">
        <is>
          <t>Infant 0-1</t>
        </is>
      </c>
      <c r="J113" s="7" t="inlineStr">
        <is>
          <t>MB</t>
        </is>
      </c>
      <c r="K113" s="15" t="n"/>
      <c r="L113" s="14" t="n"/>
      <c r="M113" s="17" t="n"/>
      <c r="N113" s="14" t="n"/>
      <c r="O113" s="11" t="n"/>
      <c r="P113" s="14" t="n"/>
      <c r="Q113" s="15" t="n"/>
      <c r="R113" s="14" t="n"/>
      <c r="S113" s="17" t="n"/>
      <c r="T113" s="14" t="n"/>
      <c r="U113" s="11" t="n"/>
      <c r="V113" s="14" t="n"/>
      <c r="W113" s="15" t="n"/>
      <c r="X113" s="14" t="n"/>
      <c r="Y113" s="17" t="n"/>
    </row>
    <row r="114">
      <c r="I114" s="7" t="n"/>
      <c r="J114" s="7" t="inlineStr">
        <is>
          <t>ExB</t>
        </is>
      </c>
      <c r="K114" s="15" t="n"/>
      <c r="L114" s="14" t="n"/>
      <c r="M114" s="17" t="n"/>
      <c r="N114" s="14" t="n"/>
      <c r="O114" s="11" t="n"/>
      <c r="P114" s="14" t="n"/>
      <c r="Q114" s="15" t="n"/>
      <c r="R114" s="14" t="n"/>
      <c r="S114" s="17" t="n"/>
      <c r="T114" s="14" t="n"/>
      <c r="U114" s="11" t="n"/>
      <c r="V114" s="14" t="n"/>
      <c r="W114" s="15" t="n"/>
      <c r="X114" s="14" t="n"/>
      <c r="Y114" s="17" t="n"/>
    </row>
    <row r="115">
      <c r="I115" s="7" t="n"/>
      <c r="J115" s="7" t="inlineStr">
        <is>
          <t>W/oB</t>
        </is>
      </c>
      <c r="K115" s="15" t="n"/>
      <c r="L115" s="14" t="n"/>
      <c r="M115" s="17" t="n"/>
      <c r="N115" s="14" t="n"/>
      <c r="O115" s="11" t="n"/>
      <c r="P115" s="14" t="n"/>
      <c r="Q115" s="15" t="n"/>
      <c r="R115" s="14" t="n"/>
      <c r="S115" s="17" t="n"/>
      <c r="T115" s="14" t="n"/>
      <c r="U115" s="11" t="n"/>
      <c r="V115" s="14" t="n"/>
      <c r="W115" s="15" t="n"/>
      <c r="X115" s="14" t="n"/>
      <c r="Y115" s="17" t="n"/>
    </row>
    <row r="116">
      <c r="K116" s="10" t="n"/>
      <c r="M116" s="8" t="n"/>
      <c r="O116" s="9" t="n"/>
      <c r="Q116" s="10" t="n"/>
      <c r="S116" s="8" t="n"/>
      <c r="U116" s="9" t="n"/>
      <c r="W116" s="10" t="n"/>
      <c r="Y116" s="8" t="n"/>
    </row>
    <row r="117" ht="18" customHeight="1">
      <c r="A117" s="19" t="inlineStr">
        <is>
          <t>Prices</t>
        </is>
      </c>
      <c r="B117" s="35" t="inlineStr">
        <is>
          <t>Adult</t>
        </is>
      </c>
      <c r="E117" s="37" t="inlineStr">
        <is>
          <t>Child 2-12</t>
        </is>
      </c>
      <c r="H117" s="39" t="inlineStr">
        <is>
          <t>Infant 0-1</t>
        </is>
      </c>
      <c r="K117" s="25" t="inlineStr">
        <is>
          <t>01/11/2026</t>
        </is>
      </c>
      <c r="L117" s="10" t="inlineStr">
        <is>
          <t>min stay 3</t>
        </is>
      </c>
      <c r="M117" s="23" t="inlineStr">
        <is>
          <t>24/12/2026</t>
        </is>
      </c>
      <c r="N117" s="8" t="inlineStr">
        <is>
          <t>min stay 3</t>
        </is>
      </c>
      <c r="O117" s="24" t="inlineStr">
        <is>
          <t>02/01/2027</t>
        </is>
      </c>
      <c r="P117" s="9" t="inlineStr">
        <is>
          <t>min stay 3</t>
        </is>
      </c>
      <c r="Q117" s="25" t="inlineStr">
        <is>
          <t>30/01/2027</t>
        </is>
      </c>
      <c r="R117" s="10" t="inlineStr">
        <is>
          <t>min stay 3</t>
        </is>
      </c>
      <c r="S117" s="23" t="inlineStr">
        <is>
          <t>01/04/2027</t>
        </is>
      </c>
      <c r="T117" s="8" t="inlineStr">
        <is>
          <t>min stay 3</t>
        </is>
      </c>
      <c r="U117" s="24" t="inlineStr">
        <is>
          <t>01/05/2027</t>
        </is>
      </c>
      <c r="V117" s="9" t="inlineStr">
        <is>
          <t>min stay 3</t>
        </is>
      </c>
      <c r="W117" s="25" t="inlineStr">
        <is>
          <t>10/07/2027</t>
        </is>
      </c>
      <c r="X117" s="10" t="inlineStr">
        <is>
          <t>min stay 3</t>
        </is>
      </c>
      <c r="Y117" s="23" t="inlineStr">
        <is>
          <t>21/08/2027</t>
        </is>
      </c>
      <c r="Z117" s="8" t="inlineStr">
        <is>
          <t>min stay 3</t>
        </is>
      </c>
    </row>
    <row r="118">
      <c r="B118" s="5" t="n">
        <v>13</v>
      </c>
      <c r="C118" s="5" t="n">
        <v>150</v>
      </c>
      <c r="D118" s="5" t="n"/>
      <c r="E118" s="6" t="n">
        <v>2</v>
      </c>
      <c r="F118" s="6" t="n">
        <v>12</v>
      </c>
      <c r="G118" s="6" t="n"/>
      <c r="H118" s="7" t="n">
        <v>0</v>
      </c>
      <c r="I118" s="7" t="n">
        <v>1</v>
      </c>
      <c r="J118" s="7" t="n"/>
      <c r="K118" s="25" t="inlineStr">
        <is>
          <t>23/12/2026</t>
        </is>
      </c>
      <c r="L118" s="10" t="inlineStr">
        <is>
          <t>type Contract Rate</t>
        </is>
      </c>
      <c r="M118" s="23" t="inlineStr">
        <is>
          <t>01/01/2027</t>
        </is>
      </c>
      <c r="N118" s="8" t="inlineStr">
        <is>
          <t>type Contract Rate</t>
        </is>
      </c>
      <c r="O118" s="24" t="inlineStr">
        <is>
          <t>29/01/2027</t>
        </is>
      </c>
      <c r="P118" s="9" t="inlineStr">
        <is>
          <t>type Contract Rate</t>
        </is>
      </c>
      <c r="Q118" s="25" t="inlineStr">
        <is>
          <t>31/03/2027</t>
        </is>
      </c>
      <c r="R118" s="10" t="inlineStr">
        <is>
          <t>type Contract Rate</t>
        </is>
      </c>
      <c r="S118" s="23" t="inlineStr">
        <is>
          <t>30/04/2027</t>
        </is>
      </c>
      <c r="T118" s="8" t="inlineStr">
        <is>
          <t>type Contract Rate</t>
        </is>
      </c>
      <c r="U118" s="24" t="inlineStr">
        <is>
          <t>09/07/2027</t>
        </is>
      </c>
      <c r="V118" s="9" t="inlineStr">
        <is>
          <t>type Contract Rate</t>
        </is>
      </c>
      <c r="W118" s="25" t="inlineStr">
        <is>
          <t>20/08/2027</t>
        </is>
      </c>
      <c r="X118" s="10" t="inlineStr">
        <is>
          <t>type Contract Rate</t>
        </is>
      </c>
      <c r="Y118" s="23" t="inlineStr">
        <is>
          <t>31/10/2027</t>
        </is>
      </c>
      <c r="Z118" s="8" t="inlineStr">
        <is>
          <t>type Contract Rate</t>
        </is>
      </c>
    </row>
    <row r="119">
      <c r="B119" s="36" t="inlineStr">
        <is>
          <t>MB</t>
        </is>
      </c>
      <c r="C119" s="36" t="inlineStr">
        <is>
          <t>ExB</t>
        </is>
      </c>
      <c r="D119" s="36" t="inlineStr">
        <is>
          <t>W/oB</t>
        </is>
      </c>
      <c r="E119" s="38" t="inlineStr">
        <is>
          <t>MB</t>
        </is>
      </c>
      <c r="F119" s="38" t="inlineStr">
        <is>
          <t>ExB</t>
        </is>
      </c>
      <c r="G119" s="38" t="inlineStr">
        <is>
          <t>W/oB</t>
        </is>
      </c>
      <c r="H119" s="40" t="inlineStr">
        <is>
          <t>MB</t>
        </is>
      </c>
      <c r="I119" s="40" t="inlineStr">
        <is>
          <t>ExB</t>
        </is>
      </c>
      <c r="J119" s="40" t="inlineStr">
        <is>
          <t>W/oB</t>
        </is>
      </c>
      <c r="K119" s="10" t="inlineStr">
        <is>
          <t>All  Inclusive</t>
        </is>
      </c>
      <c r="M119" s="8" t="inlineStr">
        <is>
          <t>All  Inclusive</t>
        </is>
      </c>
      <c r="O119" s="9" t="inlineStr">
        <is>
          <t>All  Inclusive</t>
        </is>
      </c>
      <c r="Q119" s="10" t="inlineStr">
        <is>
          <t>All  Inclusive</t>
        </is>
      </c>
      <c r="S119" s="8" t="inlineStr">
        <is>
          <t>All  Inclusive</t>
        </is>
      </c>
      <c r="U119" s="9" t="inlineStr">
        <is>
          <t>All  Inclusive</t>
        </is>
      </c>
      <c r="W119" s="10" t="inlineStr">
        <is>
          <t>All  Inclusive</t>
        </is>
      </c>
      <c r="Y119" s="8" t="inlineStr">
        <is>
          <t>All  Inclusive</t>
        </is>
      </c>
    </row>
    <row r="120" customFormat="1" s="31">
      <c r="A120" s="26" t="inlineStr">
        <is>
          <t>1A</t>
        </is>
      </c>
      <c r="B120" s="27" t="n">
        <v>1</v>
      </c>
      <c r="C120" s="27" t="n"/>
      <c r="D120" s="27" t="n"/>
      <c r="E120" s="28" t="n"/>
      <c r="F120" s="28" t="n"/>
      <c r="G120" s="28" t="n"/>
      <c r="H120" s="29" t="n"/>
      <c r="I120" s="29" t="n"/>
      <c r="J120" s="29" t="n"/>
      <c r="K120" s="30">
        <f>K107*1.6</f>
        <v/>
      </c>
      <c r="M120" s="30">
        <f>M107*1.6</f>
        <v/>
      </c>
      <c r="N120" s="30">
        <f>N107*1.6</f>
        <v/>
      </c>
      <c r="O120" s="30">
        <f>O107*1.6</f>
        <v/>
      </c>
      <c r="P120" s="30">
        <f>P107*1.6</f>
        <v/>
      </c>
      <c r="Q120" s="30">
        <f>Q107*1.6</f>
        <v/>
      </c>
      <c r="R120" s="30">
        <f>R107*1.6</f>
        <v/>
      </c>
      <c r="S120" s="30">
        <f>S107*1.6</f>
        <v/>
      </c>
      <c r="T120" s="30">
        <f>T107*1.6</f>
        <v/>
      </c>
      <c r="U120" s="30">
        <f>U107*1.6</f>
        <v/>
      </c>
      <c r="V120" s="30">
        <f>V107*1.6</f>
        <v/>
      </c>
      <c r="W120" s="30">
        <f>W107*1.6</f>
        <v/>
      </c>
      <c r="X120" s="30">
        <f>X107*1.6</f>
        <v/>
      </c>
      <c r="Y120" s="30">
        <f>Y107*1.6</f>
        <v/>
      </c>
    </row>
    <row r="121">
      <c r="A121" s="2" t="inlineStr">
        <is>
          <t>2A</t>
        </is>
      </c>
      <c r="B121" s="36" t="n">
        <v>2</v>
      </c>
      <c r="C121" s="36" t="n"/>
      <c r="D121" s="36" t="n"/>
      <c r="E121" s="38" t="n"/>
      <c r="F121" s="38" t="n"/>
      <c r="G121" s="38" t="n"/>
      <c r="H121" s="40" t="n"/>
      <c r="I121" s="40" t="n"/>
      <c r="J121" s="40" t="n"/>
      <c r="K121" s="10">
        <f t="array" ref="K121">SUM($B121:$J121*TRANSPOSE(K$107:K$115))</f>
        <v/>
      </c>
      <c r="M121" s="8">
        <f t="array" ref="M121">SUM($B121:$J121*TRANSPOSE(M$107:M$115))</f>
        <v/>
      </c>
      <c r="O121" s="9">
        <f t="array" ref="O121">SUM($B121:$J121*TRANSPOSE(O$107:O$115))</f>
        <v/>
      </c>
      <c r="Q121" s="10">
        <f t="array" ref="Q121">SUM($B121:$J121*TRANSPOSE(Q$107:Q$115))</f>
        <v/>
      </c>
      <c r="S121" s="8">
        <f t="array" ref="S121">SUM($B121:$J121*TRANSPOSE(S$107:S$115))</f>
        <v/>
      </c>
      <c r="U121" s="9">
        <f t="array" ref="U121">SUM($B121:$J121*TRANSPOSE(U$107:U$115))</f>
        <v/>
      </c>
      <c r="W121" s="10">
        <f t="array" ref="W121">SUM($B121:$J121*TRANSPOSE(W$107:W$115))</f>
        <v/>
      </c>
      <c r="Y121" s="8">
        <f t="array" ref="Y121">SUM($B121:$J121*TRANSPOSE(Y$107:Y$115))</f>
        <v/>
      </c>
    </row>
    <row r="122">
      <c r="A122" s="2" t="inlineStr">
        <is>
          <t>2A + 1a</t>
        </is>
      </c>
      <c r="B122" s="36" t="n">
        <v>2</v>
      </c>
      <c r="C122" s="36" t="n">
        <v>1</v>
      </c>
      <c r="D122" s="36" t="n"/>
      <c r="E122" s="38" t="n"/>
      <c r="F122" s="38" t="n"/>
      <c r="G122" s="38" t="n"/>
      <c r="H122" s="40" t="n"/>
      <c r="I122" s="40" t="n"/>
      <c r="J122" s="40" t="n"/>
      <c r="K122" s="10">
        <f t="array" ref="K122">SUM($B122:$J122*TRANSPOSE(K$107:K$115))</f>
        <v/>
      </c>
      <c r="M122" s="8">
        <f t="array" ref="M122">SUM($B122:$J122*TRANSPOSE(M$107:M$115))</f>
        <v/>
      </c>
      <c r="O122" s="9">
        <f t="array" ref="O122">SUM($B122:$J122*TRANSPOSE(O$107:O$115))</f>
        <v/>
      </c>
      <c r="Q122" s="10">
        <f t="array" ref="Q122">SUM($B122:$J122*TRANSPOSE(Q$107:Q$115))</f>
        <v/>
      </c>
      <c r="S122" s="8">
        <f t="array" ref="S122">SUM($B122:$J122*TRANSPOSE(S$107:S$115))</f>
        <v/>
      </c>
      <c r="U122" s="9">
        <f t="array" ref="U122">SUM($B122:$J122*TRANSPOSE(U$107:U$115))</f>
        <v/>
      </c>
      <c r="W122" s="10">
        <f t="array" ref="W122">SUM($B122:$J122*TRANSPOSE(W$107:W$115))</f>
        <v/>
      </c>
      <c r="Y122" s="8">
        <f t="array" ref="Y122">SUM($B122:$J122*TRANSPOSE(Y$107:Y$115))</f>
        <v/>
      </c>
    </row>
    <row r="123"/>
    <row r="124"/>
    <row r="125" ht="21" customHeight="1">
      <c r="A125" s="3" t="inlineStr">
        <is>
          <t>Room</t>
        </is>
      </c>
      <c r="B125" s="4" t="inlineStr">
        <is>
          <t>Double Standard Lateral Sea View (DBLB)</t>
        </is>
      </c>
      <c r="C125" s="4" t="inlineStr">
        <is>
          <t>Standard</t>
        </is>
      </c>
    </row>
    <row r="126"/>
    <row r="127">
      <c r="I127" s="1" t="inlineStr">
        <is>
          <t>Bed prices</t>
        </is>
      </c>
      <c r="K127" s="10" t="inlineStr">
        <is>
          <t>All  Inclusive</t>
        </is>
      </c>
      <c r="M127" s="8" t="inlineStr">
        <is>
          <t>All  Inclusive</t>
        </is>
      </c>
      <c r="O127" s="9" t="inlineStr">
        <is>
          <t>All  Inclusive</t>
        </is>
      </c>
      <c r="Q127" s="10" t="inlineStr">
        <is>
          <t>All  Inclusive</t>
        </is>
      </c>
      <c r="S127" s="8" t="inlineStr">
        <is>
          <t>All  Inclusive</t>
        </is>
      </c>
      <c r="U127" s="9" t="inlineStr">
        <is>
          <t>All  Inclusive</t>
        </is>
      </c>
      <c r="W127" s="10" t="inlineStr">
        <is>
          <t>All  Inclusive</t>
        </is>
      </c>
      <c r="Y127" s="8" t="inlineStr">
        <is>
          <t>All  Inclusive</t>
        </is>
      </c>
    </row>
    <row r="128">
      <c r="I128" s="5" t="inlineStr">
        <is>
          <t>Adult</t>
        </is>
      </c>
      <c r="J128" s="5" t="inlineStr">
        <is>
          <t>MB</t>
        </is>
      </c>
      <c r="K128" s="16" t="n"/>
      <c r="L128" s="13" t="n"/>
      <c r="M128" s="18" t="n"/>
      <c r="N128" s="13" t="n"/>
      <c r="O128" s="12" t="n"/>
      <c r="P128" s="13" t="n"/>
      <c r="Q128" s="16" t="n"/>
      <c r="R128" s="13" t="n"/>
      <c r="S128" s="18" t="n"/>
      <c r="T128" s="13" t="n"/>
      <c r="U128" s="12" t="n"/>
      <c r="V128" s="13" t="n"/>
      <c r="W128" s="16" t="n"/>
      <c r="X128" s="13" t="n"/>
      <c r="Y128" s="18" t="n"/>
    </row>
    <row r="129">
      <c r="I129" s="5" t="n"/>
      <c r="J129" s="5" t="inlineStr">
        <is>
          <t>ExB</t>
        </is>
      </c>
      <c r="K129" s="15">
        <f>K128*0.85</f>
        <v/>
      </c>
      <c r="L129" s="14" t="n"/>
      <c r="M129" s="15">
        <f>M128*0.85</f>
        <v/>
      </c>
      <c r="N129" s="33">
        <f>N128*0.85</f>
        <v/>
      </c>
      <c r="O129" s="15">
        <f>O128*0.85</f>
        <v/>
      </c>
      <c r="P129" s="33">
        <f>P128*0.85</f>
        <v/>
      </c>
      <c r="Q129" s="15">
        <f>Q128*0.85</f>
        <v/>
      </c>
      <c r="R129" s="33">
        <f>R128*0.85</f>
        <v/>
      </c>
      <c r="S129" s="15">
        <f>S128*0.85</f>
        <v/>
      </c>
      <c r="T129" s="33">
        <f>T128*0.85</f>
        <v/>
      </c>
      <c r="U129" s="15">
        <f>U128*0.85</f>
        <v/>
      </c>
      <c r="V129" s="33">
        <f>V128*0.85</f>
        <v/>
      </c>
      <c r="W129" s="15">
        <f>W128*0.85</f>
        <v/>
      </c>
      <c r="X129" s="33">
        <f>X128*0.85</f>
        <v/>
      </c>
      <c r="Y129" s="15">
        <f>Y128*0.85</f>
        <v/>
      </c>
    </row>
    <row r="130">
      <c r="I130" s="5" t="n"/>
      <c r="J130" s="5" t="inlineStr">
        <is>
          <t>W/oB</t>
        </is>
      </c>
      <c r="K130" s="15" t="n"/>
      <c r="L130" s="14" t="n"/>
      <c r="M130" s="17" t="n"/>
      <c r="N130" s="14" t="n"/>
      <c r="O130" s="11" t="n"/>
      <c r="P130" s="14" t="n"/>
      <c r="Q130" s="15" t="n"/>
      <c r="R130" s="14" t="n"/>
      <c r="S130" s="17" t="n"/>
      <c r="T130" s="14" t="n"/>
      <c r="U130" s="11" t="n"/>
      <c r="V130" s="14" t="n"/>
      <c r="W130" s="15" t="n"/>
      <c r="X130" s="14" t="n"/>
      <c r="Y130" s="17" t="n"/>
    </row>
    <row r="131">
      <c r="I131" s="6" t="inlineStr">
        <is>
          <t>Child 2-12</t>
        </is>
      </c>
      <c r="J131" s="6" t="inlineStr">
        <is>
          <t>MB</t>
        </is>
      </c>
      <c r="K131" s="15" t="n"/>
      <c r="L131" s="14" t="n"/>
      <c r="M131" s="17" t="n"/>
      <c r="N131" s="14" t="n"/>
      <c r="O131" s="11" t="n"/>
      <c r="P131" s="14" t="n"/>
      <c r="Q131" s="15" t="n"/>
      <c r="R131" s="14" t="n"/>
      <c r="S131" s="17" t="n"/>
      <c r="T131" s="14" t="n"/>
      <c r="U131" s="11" t="n"/>
      <c r="V131" s="14" t="n"/>
      <c r="W131" s="15" t="n"/>
      <c r="X131" s="14" t="n"/>
      <c r="Y131" s="17" t="n"/>
    </row>
    <row r="132">
      <c r="I132" s="6" t="n"/>
      <c r="J132" s="6" t="inlineStr">
        <is>
          <t>ExB</t>
        </is>
      </c>
      <c r="K132" s="15" t="n"/>
      <c r="L132" s="14" t="n"/>
      <c r="M132" s="17" t="n"/>
      <c r="N132" s="14" t="n"/>
      <c r="O132" s="11" t="n"/>
      <c r="P132" s="14" t="n"/>
      <c r="Q132" s="15" t="n"/>
      <c r="R132" s="14" t="n"/>
      <c r="S132" s="17" t="n"/>
      <c r="T132" s="14" t="n"/>
      <c r="U132" s="11" t="n"/>
      <c r="V132" s="14" t="n"/>
      <c r="W132" s="15" t="n"/>
      <c r="X132" s="14" t="n"/>
      <c r="Y132" s="17" t="n"/>
    </row>
    <row r="133">
      <c r="I133" s="6" t="n"/>
      <c r="J133" s="6" t="inlineStr">
        <is>
          <t>W/oB</t>
        </is>
      </c>
      <c r="K133" s="15" t="n"/>
      <c r="L133" s="14" t="n"/>
      <c r="M133" s="17" t="n"/>
      <c r="N133" s="14" t="n"/>
      <c r="O133" s="11" t="n"/>
      <c r="P133" s="14" t="n"/>
      <c r="Q133" s="15" t="n"/>
      <c r="R133" s="14" t="n"/>
      <c r="S133" s="17" t="n"/>
      <c r="T133" s="14" t="n"/>
      <c r="U133" s="11" t="n"/>
      <c r="V133" s="14" t="n"/>
      <c r="W133" s="15" t="n"/>
      <c r="X133" s="14" t="n"/>
      <c r="Y133" s="17" t="n"/>
    </row>
    <row r="134">
      <c r="I134" s="7" t="inlineStr">
        <is>
          <t>Infant 0-1</t>
        </is>
      </c>
      <c r="J134" s="7" t="inlineStr">
        <is>
          <t>MB</t>
        </is>
      </c>
      <c r="K134" s="15" t="n"/>
      <c r="L134" s="14" t="n"/>
      <c r="M134" s="17" t="n"/>
      <c r="N134" s="14" t="n"/>
      <c r="O134" s="11" t="n"/>
      <c r="P134" s="14" t="n"/>
      <c r="Q134" s="15" t="n"/>
      <c r="R134" s="14" t="n"/>
      <c r="S134" s="17" t="n"/>
      <c r="T134" s="14" t="n"/>
      <c r="U134" s="11" t="n"/>
      <c r="V134" s="14" t="n"/>
      <c r="W134" s="15" t="n"/>
      <c r="X134" s="14" t="n"/>
      <c r="Y134" s="17" t="n"/>
    </row>
    <row r="135">
      <c r="I135" s="7" t="n"/>
      <c r="J135" s="7" t="inlineStr">
        <is>
          <t>ExB</t>
        </is>
      </c>
      <c r="K135" s="15" t="n"/>
      <c r="L135" s="14" t="n"/>
      <c r="M135" s="17" t="n"/>
      <c r="N135" s="14" t="n"/>
      <c r="O135" s="11" t="n"/>
      <c r="P135" s="14" t="n"/>
      <c r="Q135" s="15" t="n"/>
      <c r="R135" s="14" t="n"/>
      <c r="S135" s="17" t="n"/>
      <c r="T135" s="14" t="n"/>
      <c r="U135" s="11" t="n"/>
      <c r="V135" s="14" t="n"/>
      <c r="W135" s="15" t="n"/>
      <c r="X135" s="14" t="n"/>
      <c r="Y135" s="17" t="n"/>
    </row>
    <row r="136">
      <c r="I136" s="7" t="n"/>
      <c r="J136" s="7" t="inlineStr">
        <is>
          <t>W/oB</t>
        </is>
      </c>
      <c r="K136" s="15" t="n"/>
      <c r="L136" s="14" t="n"/>
      <c r="M136" s="17" t="n"/>
      <c r="N136" s="14" t="n"/>
      <c r="O136" s="11" t="n"/>
      <c r="P136" s="14" t="n"/>
      <c r="Q136" s="15" t="n"/>
      <c r="R136" s="14" t="n"/>
      <c r="S136" s="17" t="n"/>
      <c r="T136" s="14" t="n"/>
      <c r="U136" s="11" t="n"/>
      <c r="V136" s="14" t="n"/>
      <c r="W136" s="15" t="n"/>
      <c r="X136" s="14" t="n"/>
      <c r="Y136" s="17" t="n"/>
    </row>
    <row r="137">
      <c r="K137" s="10" t="n"/>
      <c r="M137" s="8" t="n"/>
      <c r="O137" s="9" t="n"/>
      <c r="Q137" s="10" t="n"/>
      <c r="S137" s="8" t="n"/>
      <c r="U137" s="9" t="n"/>
      <c r="W137" s="10" t="n"/>
      <c r="Y137" s="8" t="n"/>
    </row>
    <row r="138" ht="18" customHeight="1">
      <c r="A138" s="19" t="inlineStr">
        <is>
          <t>Prices</t>
        </is>
      </c>
      <c r="B138" s="35" t="inlineStr">
        <is>
          <t>Adult</t>
        </is>
      </c>
      <c r="E138" s="37" t="inlineStr">
        <is>
          <t>Child 2-12</t>
        </is>
      </c>
      <c r="H138" s="39" t="inlineStr">
        <is>
          <t>Infant 0-1</t>
        </is>
      </c>
      <c r="K138" s="25" t="inlineStr">
        <is>
          <t>01/11/2026</t>
        </is>
      </c>
      <c r="L138" s="10" t="inlineStr">
        <is>
          <t>min stay 3</t>
        </is>
      </c>
      <c r="M138" s="23" t="inlineStr">
        <is>
          <t>24/12/2026</t>
        </is>
      </c>
      <c r="N138" s="8" t="inlineStr">
        <is>
          <t>min stay 3</t>
        </is>
      </c>
      <c r="O138" s="24" t="inlineStr">
        <is>
          <t>02/01/2027</t>
        </is>
      </c>
      <c r="P138" s="9" t="inlineStr">
        <is>
          <t>min stay 3</t>
        </is>
      </c>
      <c r="Q138" s="25" t="inlineStr">
        <is>
          <t>30/01/2027</t>
        </is>
      </c>
      <c r="R138" s="10" t="inlineStr">
        <is>
          <t>min stay 3</t>
        </is>
      </c>
      <c r="S138" s="23" t="inlineStr">
        <is>
          <t>01/04/2027</t>
        </is>
      </c>
      <c r="T138" s="8" t="inlineStr">
        <is>
          <t>min stay 3</t>
        </is>
      </c>
      <c r="U138" s="24" t="inlineStr">
        <is>
          <t>01/05/2027</t>
        </is>
      </c>
      <c r="V138" s="9" t="inlineStr">
        <is>
          <t>min stay 3</t>
        </is>
      </c>
      <c r="W138" s="25" t="inlineStr">
        <is>
          <t>10/07/2027</t>
        </is>
      </c>
      <c r="X138" s="10" t="inlineStr">
        <is>
          <t>min stay 3</t>
        </is>
      </c>
      <c r="Y138" s="23" t="inlineStr">
        <is>
          <t>21/08/2027</t>
        </is>
      </c>
      <c r="Z138" s="8" t="inlineStr">
        <is>
          <t>min stay 3</t>
        </is>
      </c>
    </row>
    <row r="139">
      <c r="B139" s="5" t="n">
        <v>13</v>
      </c>
      <c r="C139" s="5" t="n">
        <v>150</v>
      </c>
      <c r="D139" s="5" t="n"/>
      <c r="E139" s="6" t="n">
        <v>2</v>
      </c>
      <c r="F139" s="6" t="n">
        <v>12</v>
      </c>
      <c r="G139" s="6" t="n"/>
      <c r="H139" s="7" t="n">
        <v>0</v>
      </c>
      <c r="I139" s="7" t="n">
        <v>1</v>
      </c>
      <c r="J139" s="7" t="n"/>
      <c r="K139" s="25" t="inlineStr">
        <is>
          <t>23/12/2026</t>
        </is>
      </c>
      <c r="L139" s="10" t="inlineStr">
        <is>
          <t>type Contract Rate</t>
        </is>
      </c>
      <c r="M139" s="23" t="inlineStr">
        <is>
          <t>01/01/2027</t>
        </is>
      </c>
      <c r="N139" s="8" t="inlineStr">
        <is>
          <t>type Contract Rate</t>
        </is>
      </c>
      <c r="O139" s="24" t="inlineStr">
        <is>
          <t>29/01/2027</t>
        </is>
      </c>
      <c r="P139" s="9" t="inlineStr">
        <is>
          <t>type Contract Rate</t>
        </is>
      </c>
      <c r="Q139" s="25" t="inlineStr">
        <is>
          <t>31/03/2027</t>
        </is>
      </c>
      <c r="R139" s="10" t="inlineStr">
        <is>
          <t>type Contract Rate</t>
        </is>
      </c>
      <c r="S139" s="23" t="inlineStr">
        <is>
          <t>30/04/2027</t>
        </is>
      </c>
      <c r="T139" s="8" t="inlineStr">
        <is>
          <t>type Contract Rate</t>
        </is>
      </c>
      <c r="U139" s="24" t="inlineStr">
        <is>
          <t>09/07/2027</t>
        </is>
      </c>
      <c r="V139" s="9" t="inlineStr">
        <is>
          <t>type Contract Rate</t>
        </is>
      </c>
      <c r="W139" s="25" t="inlineStr">
        <is>
          <t>20/08/2027</t>
        </is>
      </c>
      <c r="X139" s="10" t="inlineStr">
        <is>
          <t>type Contract Rate</t>
        </is>
      </c>
      <c r="Y139" s="23" t="inlineStr">
        <is>
          <t>31/10/2027</t>
        </is>
      </c>
      <c r="Z139" s="8" t="inlineStr">
        <is>
          <t>type Contract Rate</t>
        </is>
      </c>
    </row>
    <row r="140">
      <c r="B140" s="36" t="inlineStr">
        <is>
          <t>MB</t>
        </is>
      </c>
      <c r="C140" s="36" t="inlineStr">
        <is>
          <t>ExB</t>
        </is>
      </c>
      <c r="D140" s="36" t="inlineStr">
        <is>
          <t>W/oB</t>
        </is>
      </c>
      <c r="E140" s="38" t="inlineStr">
        <is>
          <t>MB</t>
        </is>
      </c>
      <c r="F140" s="38" t="inlineStr">
        <is>
          <t>ExB</t>
        </is>
      </c>
      <c r="G140" s="38" t="inlineStr">
        <is>
          <t>W/oB</t>
        </is>
      </c>
      <c r="H140" s="40" t="inlineStr">
        <is>
          <t>MB</t>
        </is>
      </c>
      <c r="I140" s="40" t="inlineStr">
        <is>
          <t>ExB</t>
        </is>
      </c>
      <c r="J140" s="40" t="inlineStr">
        <is>
          <t>W/oB</t>
        </is>
      </c>
      <c r="K140" s="10" t="inlineStr">
        <is>
          <t>All  Inclusive</t>
        </is>
      </c>
      <c r="M140" s="8" t="inlineStr">
        <is>
          <t>All  Inclusive</t>
        </is>
      </c>
      <c r="O140" s="9" t="inlineStr">
        <is>
          <t>All  Inclusive</t>
        </is>
      </c>
      <c r="Q140" s="10" t="inlineStr">
        <is>
          <t>All  Inclusive</t>
        </is>
      </c>
      <c r="S140" s="8" t="inlineStr">
        <is>
          <t>All  Inclusive</t>
        </is>
      </c>
      <c r="U140" s="9" t="inlineStr">
        <is>
          <t>All  Inclusive</t>
        </is>
      </c>
      <c r="W140" s="10" t="inlineStr">
        <is>
          <t>All  Inclusive</t>
        </is>
      </c>
      <c r="Y140" s="8" t="inlineStr">
        <is>
          <t>All  Inclusive</t>
        </is>
      </c>
    </row>
    <row r="141" customFormat="1" s="31">
      <c r="A141" s="26" t="inlineStr">
        <is>
          <t>1A</t>
        </is>
      </c>
      <c r="B141" s="27" t="n">
        <v>1</v>
      </c>
      <c r="C141" s="27" t="n"/>
      <c r="D141" s="27" t="n"/>
      <c r="E141" s="28" t="n"/>
      <c r="F141" s="28" t="n"/>
      <c r="G141" s="28" t="n"/>
      <c r="H141" s="29" t="n"/>
      <c r="I141" s="29" t="n"/>
      <c r="J141" s="29" t="n"/>
      <c r="K141" s="30">
        <f>K128*1.6</f>
        <v/>
      </c>
      <c r="M141" s="30">
        <f>M128*1.6</f>
        <v/>
      </c>
      <c r="N141" s="30">
        <f>N128*1.6</f>
        <v/>
      </c>
      <c r="O141" s="30">
        <f>O128*1.6</f>
        <v/>
      </c>
      <c r="P141" s="30">
        <f>P128*1.6</f>
        <v/>
      </c>
      <c r="Q141" s="30">
        <f>Q128*1.6</f>
        <v/>
      </c>
      <c r="R141" s="30">
        <f>R128*1.6</f>
        <v/>
      </c>
      <c r="S141" s="30">
        <f>S128*1.6</f>
        <v/>
      </c>
      <c r="T141" s="30">
        <f>T128*1.6</f>
        <v/>
      </c>
      <c r="U141" s="30">
        <f>U128*1.6</f>
        <v/>
      </c>
      <c r="V141" s="30">
        <f>V128*1.6</f>
        <v/>
      </c>
      <c r="W141" s="30">
        <f>W128*1.6</f>
        <v/>
      </c>
      <c r="X141" s="30">
        <f>X128*1.6</f>
        <v/>
      </c>
      <c r="Y141" s="30">
        <f>Y128*1.6</f>
        <v/>
      </c>
    </row>
    <row r="142">
      <c r="A142" s="2" t="inlineStr">
        <is>
          <t>2A</t>
        </is>
      </c>
      <c r="B142" s="36" t="n">
        <v>2</v>
      </c>
      <c r="C142" s="36" t="n"/>
      <c r="D142" s="36" t="n"/>
      <c r="E142" s="38" t="n"/>
      <c r="F142" s="38" t="n"/>
      <c r="G142" s="38" t="n"/>
      <c r="H142" s="40" t="n"/>
      <c r="I142" s="40" t="n"/>
      <c r="J142" s="40" t="n"/>
      <c r="K142" s="10">
        <f t="array" ref="K142">SUM($B142:$J142*TRANSPOSE(K$128:K$136))</f>
        <v/>
      </c>
      <c r="M142" s="8">
        <f t="array" ref="M142">SUM($B142:$J142*TRANSPOSE(M$128:M$136))</f>
        <v/>
      </c>
      <c r="O142" s="9">
        <f t="array" ref="O142">SUM($B142:$J142*TRANSPOSE(O$128:O$136))</f>
        <v/>
      </c>
      <c r="Q142" s="10">
        <f t="array" ref="Q142">SUM($B142:$J142*TRANSPOSE(Q$128:Q$136))</f>
        <v/>
      </c>
      <c r="S142" s="8">
        <f t="array" ref="S142">SUM($B142:$J142*TRANSPOSE(S$128:S$136))</f>
        <v/>
      </c>
      <c r="U142" s="9">
        <f t="array" ref="U142">SUM($B142:$J142*TRANSPOSE(U$128:U$136))</f>
        <v/>
      </c>
      <c r="W142" s="10">
        <f t="array" ref="W142">SUM($B142:$J142*TRANSPOSE(W$128:W$136))</f>
        <v/>
      </c>
      <c r="Y142" s="8">
        <f t="array" ref="Y142">SUM($B142:$J142*TRANSPOSE(Y$128:Y$136))</f>
        <v/>
      </c>
    </row>
    <row r="143">
      <c r="A143" s="2" t="inlineStr">
        <is>
          <t>2A + 1a</t>
        </is>
      </c>
      <c r="B143" s="36" t="n">
        <v>2</v>
      </c>
      <c r="C143" s="36" t="n">
        <v>1</v>
      </c>
      <c r="D143" s="36" t="n"/>
      <c r="E143" s="38" t="n"/>
      <c r="F143" s="38" t="n"/>
      <c r="G143" s="38" t="n"/>
      <c r="H143" s="40" t="n"/>
      <c r="I143" s="40" t="n"/>
      <c r="J143" s="40" t="n"/>
      <c r="K143" s="10">
        <f t="array" ref="K143">SUM($B143:$J143*TRANSPOSE(K$128:K$136))</f>
        <v/>
      </c>
      <c r="M143" s="8">
        <f t="array" ref="M143">SUM($B143:$J143*TRANSPOSE(M$128:M$136))</f>
        <v/>
      </c>
      <c r="O143" s="9">
        <f t="array" ref="O143">SUM($B143:$J143*TRANSPOSE(O$128:O$136))</f>
        <v/>
      </c>
      <c r="Q143" s="10">
        <f t="array" ref="Q143">SUM($B143:$J143*TRANSPOSE(Q$128:Q$136))</f>
        <v/>
      </c>
      <c r="S143" s="8">
        <f t="array" ref="S143">SUM($B143:$J143*TRANSPOSE(S$128:S$136))</f>
        <v/>
      </c>
      <c r="U143" s="9">
        <f t="array" ref="U143">SUM($B143:$J143*TRANSPOSE(U$128:U$136))</f>
        <v/>
      </c>
      <c r="W143" s="10">
        <f t="array" ref="W143">SUM($B143:$J143*TRANSPOSE(W$128:W$136))</f>
        <v/>
      </c>
      <c r="Y143" s="8">
        <f t="array" ref="Y143">SUM($B143:$J143*TRANSPOSE(Y$128:Y$136))</f>
        <v/>
      </c>
    </row>
    <row r="144"/>
    <row r="145"/>
    <row r="146" ht="21" customHeight="1">
      <c r="A146" s="3" t="inlineStr">
        <is>
          <t>Room</t>
        </is>
      </c>
      <c r="B146" s="4" t="inlineStr">
        <is>
          <t>Family Room (F1SB)</t>
        </is>
      </c>
      <c r="C146" s="4" t="inlineStr">
        <is>
          <t>Family</t>
        </is>
      </c>
    </row>
    <row r="147"/>
    <row r="148">
      <c r="I148" s="1" t="inlineStr">
        <is>
          <t>Bed prices</t>
        </is>
      </c>
      <c r="K148" s="10" t="inlineStr">
        <is>
          <t>All  Inclusive</t>
        </is>
      </c>
      <c r="M148" s="8" t="inlineStr">
        <is>
          <t>All  Inclusive</t>
        </is>
      </c>
      <c r="O148" s="9" t="inlineStr">
        <is>
          <t>All  Inclusive</t>
        </is>
      </c>
      <c r="Q148" s="10" t="inlineStr">
        <is>
          <t>All  Inclusive</t>
        </is>
      </c>
      <c r="S148" s="8" t="inlineStr">
        <is>
          <t>All  Inclusive</t>
        </is>
      </c>
      <c r="U148" s="9" t="inlineStr">
        <is>
          <t>All  Inclusive</t>
        </is>
      </c>
      <c r="W148" s="10" t="inlineStr">
        <is>
          <t>All  Inclusive</t>
        </is>
      </c>
      <c r="Y148" s="8" t="inlineStr">
        <is>
          <t>All  Inclusive</t>
        </is>
      </c>
    </row>
    <row r="149">
      <c r="I149" s="5" t="inlineStr">
        <is>
          <t>Adult</t>
        </is>
      </c>
      <c r="J149" s="5" t="inlineStr">
        <is>
          <t>MB</t>
        </is>
      </c>
      <c r="K149" s="16" t="n"/>
      <c r="L149" s="32" t="n"/>
      <c r="M149" s="18" t="n"/>
      <c r="N149" s="32" t="n"/>
      <c r="O149" s="12" t="n"/>
      <c r="P149" s="32" t="n"/>
      <c r="Q149" s="16" t="n"/>
      <c r="R149" s="32" t="n"/>
      <c r="S149" s="18" t="n"/>
      <c r="T149" s="32" t="n"/>
      <c r="U149" s="12" t="n"/>
      <c r="V149" s="32" t="n"/>
      <c r="W149" s="16" t="n"/>
      <c r="X149" s="32" t="n"/>
      <c r="Y149" s="18" t="n"/>
    </row>
    <row r="150">
      <c r="I150" s="5" t="n"/>
      <c r="J150" s="5" t="inlineStr">
        <is>
          <t>ExB</t>
        </is>
      </c>
      <c r="K150" s="15">
        <f>K149*0.85</f>
        <v/>
      </c>
      <c r="L150" s="33">
        <f>L149*0.85</f>
        <v/>
      </c>
      <c r="M150" s="15">
        <f>M149*0.85</f>
        <v/>
      </c>
      <c r="N150" s="33">
        <f>N149*0.85</f>
        <v/>
      </c>
      <c r="O150" s="15">
        <f>O149*0.85</f>
        <v/>
      </c>
      <c r="P150" s="33">
        <f>P149*0.85</f>
        <v/>
      </c>
      <c r="Q150" s="15">
        <f>Q149*0.85</f>
        <v/>
      </c>
      <c r="R150" s="33">
        <f>R149*0.85</f>
        <v/>
      </c>
      <c r="S150" s="15">
        <f>S149*0.85</f>
        <v/>
      </c>
      <c r="T150" s="33">
        <f>T149*0.85</f>
        <v/>
      </c>
      <c r="U150" s="15">
        <f>U149*0.85</f>
        <v/>
      </c>
      <c r="V150" s="33">
        <f>V149*0.85</f>
        <v/>
      </c>
      <c r="W150" s="15">
        <f>W149*0.85</f>
        <v/>
      </c>
      <c r="X150" s="33">
        <f>X149*0.85</f>
        <v/>
      </c>
      <c r="Y150" s="15">
        <f>Y149*0.85</f>
        <v/>
      </c>
    </row>
    <row r="151">
      <c r="I151" s="5" t="n"/>
      <c r="J151" s="5" t="inlineStr">
        <is>
          <t>W/oB</t>
        </is>
      </c>
      <c r="K151" s="15" t="n"/>
      <c r="L151" s="33" t="n"/>
      <c r="M151" s="17" t="n"/>
      <c r="N151" s="33" t="n"/>
      <c r="O151" s="11" t="n"/>
      <c r="P151" s="33" t="n"/>
      <c r="Q151" s="15" t="n"/>
      <c r="R151" s="33" t="n"/>
      <c r="S151" s="17" t="n"/>
      <c r="T151" s="33" t="n"/>
      <c r="U151" s="11" t="n"/>
      <c r="V151" s="33" t="n"/>
      <c r="W151" s="15" t="n"/>
      <c r="X151" s="33" t="n"/>
      <c r="Y151" s="17" t="n"/>
    </row>
    <row r="152" customFormat="1" s="41">
      <c r="I152" s="42" t="inlineStr">
        <is>
          <t>Child 2-12</t>
        </is>
      </c>
      <c r="J152" s="42" t="inlineStr">
        <is>
          <t>MB</t>
        </is>
      </c>
      <c r="K152" s="44" t="n"/>
      <c r="L152" s="45" t="n"/>
      <c r="M152" s="44" t="n"/>
      <c r="N152" s="45" t="n"/>
      <c r="O152" s="44" t="n"/>
      <c r="P152" s="45" t="n"/>
      <c r="Q152" s="44" t="n"/>
      <c r="R152" s="45" t="n"/>
      <c r="S152" s="44" t="n"/>
      <c r="T152" s="45" t="n"/>
      <c r="U152" s="44" t="n"/>
      <c r="V152" s="45" t="n"/>
      <c r="W152" s="44" t="n"/>
      <c r="X152" s="45" t="n"/>
      <c r="Y152" s="44" t="n"/>
    </row>
    <row r="153">
      <c r="I153" s="6" t="n"/>
      <c r="J153" s="6" t="inlineStr">
        <is>
          <t>ExB</t>
        </is>
      </c>
      <c r="K153" s="15">
        <f>K149*0.5</f>
        <v/>
      </c>
      <c r="L153" s="33" t="n"/>
      <c r="M153" s="15">
        <f>M149*0.5</f>
        <v/>
      </c>
      <c r="N153" s="33">
        <f>N149*0.5</f>
        <v/>
      </c>
      <c r="O153" s="15">
        <f>O149*0.5</f>
        <v/>
      </c>
      <c r="P153" s="33">
        <f>P149*0.5</f>
        <v/>
      </c>
      <c r="Q153" s="15">
        <f>Q149*0.5</f>
        <v/>
      </c>
      <c r="R153" s="33">
        <f>R149*0.5</f>
        <v/>
      </c>
      <c r="S153" s="15">
        <f>S149*0.5</f>
        <v/>
      </c>
      <c r="T153" s="33">
        <f>T149*0.5</f>
        <v/>
      </c>
      <c r="U153" s="15">
        <f>U149*0.5</f>
        <v/>
      </c>
      <c r="V153" s="33">
        <f>V149*0.5</f>
        <v/>
      </c>
      <c r="W153" s="15">
        <f>W149*0.5</f>
        <v/>
      </c>
      <c r="X153" s="33">
        <f>X149*0.5</f>
        <v/>
      </c>
      <c r="Y153" s="15">
        <f>Y149*0.5</f>
        <v/>
      </c>
    </row>
    <row r="154" customFormat="1" s="41">
      <c r="I154" s="42" t="n"/>
      <c r="J154" s="42" t="inlineStr">
        <is>
          <t>W/oB</t>
        </is>
      </c>
      <c r="K154" s="43" t="n"/>
      <c r="L154" s="46" t="n"/>
      <c r="M154" s="43" t="n"/>
      <c r="N154" s="46">
        <f>N149*0.5</f>
        <v/>
      </c>
      <c r="O154" s="43" t="n"/>
      <c r="P154" s="46">
        <f>P149*0.5</f>
        <v/>
      </c>
      <c r="Q154" s="43" t="n"/>
      <c r="R154" s="46">
        <f>R149*0.5</f>
        <v/>
      </c>
      <c r="S154" s="43" t="n"/>
      <c r="T154" s="46">
        <f>T149*0.5</f>
        <v/>
      </c>
      <c r="U154" s="43" t="n"/>
      <c r="V154" s="46">
        <f>V149*0.5</f>
        <v/>
      </c>
      <c r="W154" s="43" t="n"/>
      <c r="X154" s="46">
        <f>X149*0.5</f>
        <v/>
      </c>
      <c r="Y154" s="43" t="n"/>
    </row>
    <row r="155">
      <c r="I155" s="7" t="inlineStr">
        <is>
          <t>Infant 0-1</t>
        </is>
      </c>
      <c r="J155" s="7" t="inlineStr">
        <is>
          <t>MB</t>
        </is>
      </c>
      <c r="K155" s="15" t="n"/>
      <c r="L155" s="33" t="n"/>
      <c r="M155" s="17" t="n"/>
      <c r="N155" s="33" t="n"/>
      <c r="O155" s="11" t="n"/>
      <c r="P155" s="33" t="n"/>
      <c r="Q155" s="15" t="n"/>
      <c r="R155" s="33" t="n"/>
      <c r="S155" s="17" t="n"/>
      <c r="T155" s="33" t="n"/>
      <c r="U155" s="11" t="n"/>
      <c r="V155" s="33" t="n"/>
      <c r="W155" s="15" t="n"/>
      <c r="X155" s="33" t="n"/>
      <c r="Y155" s="17" t="n"/>
    </row>
    <row r="156">
      <c r="I156" s="7" t="n"/>
      <c r="J156" s="7" t="inlineStr">
        <is>
          <t>ExB</t>
        </is>
      </c>
      <c r="K156" s="15" t="n"/>
      <c r="L156" s="33" t="n"/>
      <c r="M156" s="17" t="n"/>
      <c r="N156" s="33" t="n"/>
      <c r="O156" s="11" t="n"/>
      <c r="P156" s="33" t="n"/>
      <c r="Q156" s="15" t="n"/>
      <c r="R156" s="33" t="n"/>
      <c r="S156" s="17" t="n"/>
      <c r="T156" s="33" t="n"/>
      <c r="U156" s="11" t="n"/>
      <c r="V156" s="33" t="n"/>
      <c r="W156" s="15" t="n"/>
      <c r="X156" s="33" t="n"/>
      <c r="Y156" s="17" t="n"/>
    </row>
    <row r="157">
      <c r="I157" s="7" t="n"/>
      <c r="J157" s="7" t="inlineStr">
        <is>
          <t>W/oB</t>
        </is>
      </c>
      <c r="K157" s="15" t="n"/>
      <c r="L157" s="33" t="n"/>
      <c r="M157" s="17" t="n"/>
      <c r="N157" s="33" t="n"/>
      <c r="O157" s="11" t="n"/>
      <c r="P157" s="33" t="n"/>
      <c r="Q157" s="15" t="n"/>
      <c r="R157" s="33" t="n"/>
      <c r="S157" s="17" t="n"/>
      <c r="T157" s="33" t="n"/>
      <c r="U157" s="11" t="n"/>
      <c r="V157" s="33" t="n"/>
      <c r="W157" s="15" t="n"/>
      <c r="X157" s="33" t="n"/>
      <c r="Y157" s="17" t="n"/>
    </row>
    <row r="158">
      <c r="K158" s="10" t="n"/>
      <c r="M158" s="8" t="n"/>
      <c r="O158" s="9" t="n"/>
      <c r="Q158" s="10" t="n"/>
      <c r="S158" s="8" t="n"/>
      <c r="U158" s="9" t="n"/>
      <c r="W158" s="10" t="n"/>
      <c r="Y158" s="8" t="n"/>
    </row>
    <row r="159" ht="18" customHeight="1">
      <c r="A159" s="19" t="inlineStr">
        <is>
          <t>Prices</t>
        </is>
      </c>
      <c r="B159" s="35" t="inlineStr">
        <is>
          <t>Adult</t>
        </is>
      </c>
      <c r="E159" s="37" t="inlineStr">
        <is>
          <t>Child 2-12</t>
        </is>
      </c>
      <c r="H159" s="39" t="inlineStr">
        <is>
          <t>Infant 0-1</t>
        </is>
      </c>
      <c r="K159" s="25" t="inlineStr">
        <is>
          <t>01/11/2026</t>
        </is>
      </c>
      <c r="L159" s="10" t="inlineStr">
        <is>
          <t>min stay 3</t>
        </is>
      </c>
      <c r="M159" s="23" t="inlineStr">
        <is>
          <t>24/12/2026</t>
        </is>
      </c>
      <c r="N159" s="8" t="inlineStr">
        <is>
          <t>min stay 3</t>
        </is>
      </c>
      <c r="O159" s="24" t="inlineStr">
        <is>
          <t>02/01/2027</t>
        </is>
      </c>
      <c r="P159" s="9" t="inlineStr">
        <is>
          <t>min stay 3</t>
        </is>
      </c>
      <c r="Q159" s="25" t="inlineStr">
        <is>
          <t>30/01/2027</t>
        </is>
      </c>
      <c r="R159" s="10" t="inlineStr">
        <is>
          <t>min stay 3</t>
        </is>
      </c>
      <c r="S159" s="23" t="inlineStr">
        <is>
          <t>01/04/2027</t>
        </is>
      </c>
      <c r="T159" s="8" t="inlineStr">
        <is>
          <t>min stay 3</t>
        </is>
      </c>
      <c r="U159" s="24" t="inlineStr">
        <is>
          <t>01/05/2027</t>
        </is>
      </c>
      <c r="V159" s="9" t="inlineStr">
        <is>
          <t>min stay 3</t>
        </is>
      </c>
      <c r="W159" s="25" t="inlineStr">
        <is>
          <t>10/07/2027</t>
        </is>
      </c>
      <c r="X159" s="10" t="inlineStr">
        <is>
          <t>min stay 3</t>
        </is>
      </c>
      <c r="Y159" s="23" t="inlineStr">
        <is>
          <t>21/08/2027</t>
        </is>
      </c>
      <c r="Z159" s="8" t="inlineStr">
        <is>
          <t>min stay 3</t>
        </is>
      </c>
    </row>
    <row r="160">
      <c r="B160" s="5" t="n">
        <v>13</v>
      </c>
      <c r="C160" s="5" t="n">
        <v>150</v>
      </c>
      <c r="D160" s="5" t="n"/>
      <c r="E160" s="6" t="n">
        <v>2</v>
      </c>
      <c r="F160" s="6" t="n">
        <v>12</v>
      </c>
      <c r="G160" s="6" t="n"/>
      <c r="H160" s="7" t="n">
        <v>0</v>
      </c>
      <c r="I160" s="7" t="n">
        <v>1</v>
      </c>
      <c r="J160" s="7" t="n"/>
      <c r="K160" s="25" t="inlineStr">
        <is>
          <t>23/12/2026</t>
        </is>
      </c>
      <c r="L160" s="10" t="inlineStr">
        <is>
          <t>type Contract Rate</t>
        </is>
      </c>
      <c r="M160" s="23" t="inlineStr">
        <is>
          <t>01/01/2027</t>
        </is>
      </c>
      <c r="N160" s="8" t="inlineStr">
        <is>
          <t>type Contract Rate</t>
        </is>
      </c>
      <c r="O160" s="24" t="inlineStr">
        <is>
          <t>29/01/2027</t>
        </is>
      </c>
      <c r="P160" s="9" t="inlineStr">
        <is>
          <t>type Contract Rate</t>
        </is>
      </c>
      <c r="Q160" s="25" t="inlineStr">
        <is>
          <t>31/03/2027</t>
        </is>
      </c>
      <c r="R160" s="10" t="inlineStr">
        <is>
          <t>type Contract Rate</t>
        </is>
      </c>
      <c r="S160" s="23" t="inlineStr">
        <is>
          <t>30/04/2027</t>
        </is>
      </c>
      <c r="T160" s="8" t="inlineStr">
        <is>
          <t>type Contract Rate</t>
        </is>
      </c>
      <c r="U160" s="24" t="inlineStr">
        <is>
          <t>09/07/2027</t>
        </is>
      </c>
      <c r="V160" s="9" t="inlineStr">
        <is>
          <t>type Contract Rate</t>
        </is>
      </c>
      <c r="W160" s="25" t="inlineStr">
        <is>
          <t>20/08/2027</t>
        </is>
      </c>
      <c r="X160" s="10" t="inlineStr">
        <is>
          <t>type Contract Rate</t>
        </is>
      </c>
      <c r="Y160" s="23" t="inlineStr">
        <is>
          <t>31/10/2027</t>
        </is>
      </c>
      <c r="Z160" s="8" t="inlineStr">
        <is>
          <t>type Contract Rate</t>
        </is>
      </c>
    </row>
    <row r="161">
      <c r="B161" s="36" t="inlineStr">
        <is>
          <t>MB</t>
        </is>
      </c>
      <c r="C161" s="36" t="inlineStr">
        <is>
          <t>ExB</t>
        </is>
      </c>
      <c r="D161" s="36" t="inlineStr">
        <is>
          <t>W/oB</t>
        </is>
      </c>
      <c r="E161" s="38" t="inlineStr">
        <is>
          <t>MB</t>
        </is>
      </c>
      <c r="F161" s="38" t="inlineStr">
        <is>
          <t>ExB</t>
        </is>
      </c>
      <c r="G161" s="38" t="inlineStr">
        <is>
          <t>W/oB</t>
        </is>
      </c>
      <c r="H161" s="40" t="inlineStr">
        <is>
          <t>MB</t>
        </is>
      </c>
      <c r="I161" s="40" t="inlineStr">
        <is>
          <t>ExB</t>
        </is>
      </c>
      <c r="J161" s="40" t="inlineStr">
        <is>
          <t>W/oB</t>
        </is>
      </c>
      <c r="K161" s="10" t="inlineStr">
        <is>
          <t>All  Inclusive</t>
        </is>
      </c>
      <c r="M161" s="8" t="inlineStr">
        <is>
          <t>All  Inclusive</t>
        </is>
      </c>
      <c r="O161" s="9" t="inlineStr">
        <is>
          <t>All  Inclusive</t>
        </is>
      </c>
      <c r="Q161" s="10" t="inlineStr">
        <is>
          <t>All  Inclusive</t>
        </is>
      </c>
      <c r="S161" s="8" t="inlineStr">
        <is>
          <t>All  Inclusive</t>
        </is>
      </c>
      <c r="U161" s="9" t="inlineStr">
        <is>
          <t>All  Inclusive</t>
        </is>
      </c>
      <c r="W161" s="10" t="inlineStr">
        <is>
          <t>All  Inclusive</t>
        </is>
      </c>
      <c r="Y161" s="8" t="inlineStr">
        <is>
          <t>All  Inclusive</t>
        </is>
      </c>
    </row>
    <row r="162" customFormat="1" s="31">
      <c r="A162" s="26" t="inlineStr">
        <is>
          <t>2A + 1a</t>
        </is>
      </c>
      <c r="B162" s="27" t="n">
        <v>2</v>
      </c>
      <c r="C162" s="27" t="n">
        <v>1</v>
      </c>
      <c r="D162" s="27" t="n"/>
      <c r="E162" s="28" t="n"/>
      <c r="F162" s="28" t="n"/>
      <c r="G162" s="28" t="n"/>
      <c r="H162" s="29" t="n"/>
      <c r="I162" s="29" t="n"/>
      <c r="J162" s="29" t="n"/>
      <c r="K162" s="30">
        <f>K149*2+K150</f>
        <v/>
      </c>
      <c r="M162" s="30">
        <f>M149*2+M150</f>
        <v/>
      </c>
      <c r="N162" s="30">
        <f>N149*2+N150</f>
        <v/>
      </c>
      <c r="O162" s="30">
        <f>O149*2+O150</f>
        <v/>
      </c>
      <c r="P162" s="30">
        <f>P149*2+P150</f>
        <v/>
      </c>
      <c r="Q162" s="30">
        <f>Q149*2+Q150</f>
        <v/>
      </c>
      <c r="R162" s="30">
        <f>R149*2+R150</f>
        <v/>
      </c>
      <c r="S162" s="30">
        <f>S149*2+S150</f>
        <v/>
      </c>
      <c r="T162" s="30">
        <f>T149*2+T150</f>
        <v/>
      </c>
      <c r="U162" s="30">
        <f>U149*2+U150</f>
        <v/>
      </c>
      <c r="V162" s="30">
        <f>V149*2+V150</f>
        <v/>
      </c>
      <c r="W162" s="30">
        <f>W149*2+W150</f>
        <v/>
      </c>
      <c r="X162" s="30">
        <f>X149*2+X150</f>
        <v/>
      </c>
      <c r="Y162" s="30">
        <f>Y149*2+Y150</f>
        <v/>
      </c>
    </row>
    <row r="163">
      <c r="A163" s="2" t="inlineStr">
        <is>
          <t>1A + 1C12 + 1c12</t>
        </is>
      </c>
      <c r="B163" s="36" t="n">
        <v>1</v>
      </c>
      <c r="C163" s="36" t="n"/>
      <c r="D163" s="36" t="n"/>
      <c r="E163" s="38" t="n">
        <v>1</v>
      </c>
      <c r="F163" s="38" t="n">
        <v>1</v>
      </c>
      <c r="G163" s="38" t="n"/>
      <c r="H163" s="40" t="n"/>
      <c r="I163" s="40" t="n"/>
      <c r="J163" s="40" t="n"/>
      <c r="K163" s="10">
        <f t="array" ref="K163">SUM($B163:$J163*TRANSPOSE(K$149:K$157))</f>
        <v/>
      </c>
      <c r="M163" s="8">
        <f t="array" ref="M163">SUM($B163:$J163*TRANSPOSE(M$149:M$157))</f>
        <v/>
      </c>
      <c r="O163" s="9">
        <f t="array" ref="O163">SUM($B163:$J163*TRANSPOSE(O$149:O$157))</f>
        <v/>
      </c>
      <c r="Q163" s="10">
        <f t="array" ref="Q163">SUM($B163:$J163*TRANSPOSE(Q$149:Q$157))</f>
        <v/>
      </c>
      <c r="S163" s="8">
        <f t="array" ref="S163">SUM($B163:$J163*TRANSPOSE(S$149:S$157))</f>
        <v/>
      </c>
      <c r="U163" s="9">
        <f t="array" ref="U163">SUM($B163:$J163*TRANSPOSE(U$149:U$157))</f>
        <v/>
      </c>
      <c r="W163" s="10">
        <f t="array" ref="W163">SUM($B163:$J163*TRANSPOSE(W$149:W$157))</f>
        <v/>
      </c>
      <c r="Y163" s="8">
        <f t="array" ref="Y163">SUM($B163:$J163*TRANSPOSE(Y$149:Y$157))</f>
        <v/>
      </c>
    </row>
    <row r="164">
      <c r="A164" s="2" t="inlineStr">
        <is>
          <t>2A + 1c12</t>
        </is>
      </c>
      <c r="B164" s="36" t="n">
        <v>2</v>
      </c>
      <c r="C164" s="36" t="n"/>
      <c r="D164" s="36" t="n"/>
      <c r="E164" s="38" t="n"/>
      <c r="F164" s="38" t="n">
        <v>1</v>
      </c>
      <c r="G164" s="38" t="n"/>
      <c r="H164" s="40" t="n"/>
      <c r="I164" s="40" t="n"/>
      <c r="J164" s="40" t="n"/>
      <c r="K164" s="10">
        <f t="array" ref="K164">SUM($B164:$J164*TRANSPOSE(K$149:K$157))</f>
        <v/>
      </c>
      <c r="M164" s="8">
        <f t="array" ref="M164">SUM($B164:$J164*TRANSPOSE(M$149:M$157))</f>
        <v/>
      </c>
      <c r="O164" s="9">
        <f t="array" ref="O164">SUM($B164:$J164*TRANSPOSE(O$149:O$157))</f>
        <v/>
      </c>
      <c r="Q164" s="10">
        <f t="array" ref="Q164">SUM($B164:$J164*TRANSPOSE(Q$149:Q$157))</f>
        <v/>
      </c>
      <c r="S164" s="8">
        <f t="array" ref="S164">SUM($B164:$J164*TRANSPOSE(S$149:S$157))</f>
        <v/>
      </c>
      <c r="U164" s="9">
        <f t="array" ref="U164">SUM($B164:$J164*TRANSPOSE(U$149:U$157))</f>
        <v/>
      </c>
      <c r="W164" s="10">
        <f t="array" ref="W164">SUM($B164:$J164*TRANSPOSE(W$149:W$157))</f>
        <v/>
      </c>
      <c r="Y164" s="8">
        <f t="array" ref="Y164">SUM($B164:$J164*TRANSPOSE(Y$149:Y$157))</f>
        <v/>
      </c>
    </row>
    <row r="165">
      <c r="A165" s="2" t="inlineStr">
        <is>
          <t>2A + 2a</t>
        </is>
      </c>
      <c r="B165" s="36" t="n">
        <v>2</v>
      </c>
      <c r="C165" s="36" t="n">
        <v>2</v>
      </c>
      <c r="D165" s="36" t="n"/>
      <c r="E165" s="38" t="n"/>
      <c r="F165" s="38" t="n"/>
      <c r="G165" s="38" t="n"/>
      <c r="H165" s="40" t="n"/>
      <c r="I165" s="40" t="n"/>
      <c r="J165" s="40" t="n"/>
      <c r="K165" s="10">
        <f t="array" ref="K165">SUM($B165:$J165*TRANSPOSE(K$149:K$157))</f>
        <v/>
      </c>
      <c r="M165" s="8">
        <f t="array" ref="M165">SUM($B165:$J165*TRANSPOSE(M$149:M$157))</f>
        <v/>
      </c>
      <c r="O165" s="9">
        <f t="array" ref="O165">SUM($B165:$J165*TRANSPOSE(O$149:O$157))</f>
        <v/>
      </c>
      <c r="Q165" s="10">
        <f t="array" ref="Q165">SUM($B165:$J165*TRANSPOSE(Q$149:Q$157))</f>
        <v/>
      </c>
      <c r="S165" s="8">
        <f t="array" ref="S165">SUM($B165:$J165*TRANSPOSE(S$149:S$157))</f>
        <v/>
      </c>
      <c r="U165" s="9">
        <f t="array" ref="U165">SUM($B165:$J165*TRANSPOSE(U$149:U$157))</f>
        <v/>
      </c>
      <c r="W165" s="10">
        <f t="array" ref="W165">SUM($B165:$J165*TRANSPOSE(W$149:W$157))</f>
        <v/>
      </c>
      <c r="Y165" s="8">
        <f t="array" ref="Y165">SUM($B165:$J165*TRANSPOSE(Y$149:Y$157))</f>
        <v/>
      </c>
    </row>
    <row r="166">
      <c r="A166" s="2" t="inlineStr">
        <is>
          <t>1A + 1C12 + 2c12</t>
        </is>
      </c>
      <c r="B166" s="36" t="n">
        <v>1</v>
      </c>
      <c r="C166" s="36" t="n"/>
      <c r="D166" s="36" t="n"/>
      <c r="E166" s="38" t="n">
        <v>1</v>
      </c>
      <c r="F166" s="38" t="n">
        <v>2</v>
      </c>
      <c r="G166" s="38" t="n"/>
      <c r="H166" s="40" t="n"/>
      <c r="I166" s="40" t="n"/>
      <c r="J166" s="40" t="n"/>
      <c r="K166" s="10">
        <f t="array" ref="K166">SUM($B166:$J166*TRANSPOSE(K$149:K$157))</f>
        <v/>
      </c>
      <c r="M166" s="8">
        <f t="array" ref="M166">SUM($B166:$J166*TRANSPOSE(M$149:M$157))</f>
        <v/>
      </c>
      <c r="O166" s="9">
        <f t="array" ref="O166">SUM($B166:$J166*TRANSPOSE(O$149:O$157))</f>
        <v/>
      </c>
      <c r="Q166" s="10">
        <f t="array" ref="Q166">SUM($B166:$J166*TRANSPOSE(Q$149:Q$157))</f>
        <v/>
      </c>
      <c r="S166" s="8">
        <f t="array" ref="S166">SUM($B166:$J166*TRANSPOSE(S$149:S$157))</f>
        <v/>
      </c>
      <c r="U166" s="9">
        <f t="array" ref="U166">SUM($B166:$J166*TRANSPOSE(U$149:U$157))</f>
        <v/>
      </c>
      <c r="W166" s="10">
        <f t="array" ref="W166">SUM($B166:$J166*TRANSPOSE(W$149:W$157))</f>
        <v/>
      </c>
      <c r="Y166" s="8">
        <f t="array" ref="Y166">SUM($B166:$J166*TRANSPOSE(Y$149:Y$157))</f>
        <v/>
      </c>
    </row>
    <row r="167">
      <c r="A167" s="2" t="inlineStr">
        <is>
          <t>2A + 2c12</t>
        </is>
      </c>
      <c r="B167" s="36" t="n">
        <v>2</v>
      </c>
      <c r="C167" s="36" t="n"/>
      <c r="D167" s="36" t="n"/>
      <c r="E167" s="38" t="n"/>
      <c r="F167" s="38" t="n">
        <v>2</v>
      </c>
      <c r="G167" s="38" t="n"/>
      <c r="H167" s="40" t="n"/>
      <c r="I167" s="40" t="n"/>
      <c r="J167" s="40" t="n"/>
      <c r="K167" s="10">
        <f t="array" ref="K167">SUM($B167:$J167*TRANSPOSE(K$149:K$157))</f>
        <v/>
      </c>
      <c r="M167" s="8">
        <f t="array" ref="M167">SUM($B167:$J167*TRANSPOSE(M$149:M$157))</f>
        <v/>
      </c>
      <c r="O167" s="9">
        <f t="array" ref="O167">SUM($B167:$J167*TRANSPOSE(O$149:O$157))</f>
        <v/>
      </c>
      <c r="Q167" s="10">
        <f t="array" ref="Q167">SUM($B167:$J167*TRANSPOSE(Q$149:Q$157))</f>
        <v/>
      </c>
      <c r="S167" s="8">
        <f t="array" ref="S167">SUM($B167:$J167*TRANSPOSE(S$149:S$157))</f>
        <v/>
      </c>
      <c r="U167" s="9">
        <f t="array" ref="U167">SUM($B167:$J167*TRANSPOSE(U$149:U$157))</f>
        <v/>
      </c>
      <c r="W167" s="10">
        <f t="array" ref="W167">SUM($B167:$J167*TRANSPOSE(W$149:W$157))</f>
        <v/>
      </c>
      <c r="Y167" s="8">
        <f t="array" ref="Y167">SUM($B167:$J167*TRANSPOSE(Y$149:Y$157))</f>
        <v/>
      </c>
    </row>
    <row r="168">
      <c r="A168" s="2" t="inlineStr">
        <is>
          <t>2A + 1a + 1c12</t>
        </is>
      </c>
      <c r="B168" s="36" t="n">
        <v>2</v>
      </c>
      <c r="C168" s="36" t="n">
        <v>1</v>
      </c>
      <c r="D168" s="36" t="n"/>
      <c r="E168" s="38" t="n"/>
      <c r="F168" s="38" t="n">
        <v>1</v>
      </c>
      <c r="G168" s="38" t="n"/>
      <c r="H168" s="40" t="n"/>
      <c r="I168" s="40" t="n"/>
      <c r="J168" s="40" t="n"/>
      <c r="K168" s="10">
        <f t="array" ref="K168">SUM($B168:$J168*TRANSPOSE(K$149:K$157))</f>
        <v/>
      </c>
      <c r="M168" s="8">
        <f t="array" ref="M168">SUM($B168:$J168*TRANSPOSE(M$149:M$157))</f>
        <v/>
      </c>
      <c r="O168" s="9">
        <f t="array" ref="O168">SUM($B168:$J168*TRANSPOSE(O$149:O$157))</f>
        <v/>
      </c>
      <c r="Q168" s="10">
        <f t="array" ref="Q168">SUM($B168:$J168*TRANSPOSE(Q$149:Q$157))</f>
        <v/>
      </c>
      <c r="S168" s="8">
        <f t="array" ref="S168">SUM($B168:$J168*TRANSPOSE(S$149:S$157))</f>
        <v/>
      </c>
      <c r="U168" s="9">
        <f t="array" ref="U168">SUM($B168:$J168*TRANSPOSE(U$149:U$157))</f>
        <v/>
      </c>
      <c r="W168" s="10">
        <f t="array" ref="W168">SUM($B168:$J168*TRANSPOSE(W$149:W$157))</f>
        <v/>
      </c>
      <c r="Y168" s="8">
        <f t="array" ref="Y168">SUM($B168:$J168*TRANSPOSE(Y$149:Y$157))</f>
        <v/>
      </c>
    </row>
    <row r="169">
      <c r="A169" s="2" t="inlineStr">
        <is>
          <t>2A + 1a + 1c1/</t>
        </is>
      </c>
      <c r="B169" s="36" t="n">
        <v>2</v>
      </c>
      <c r="C169" s="36" t="n">
        <v>1</v>
      </c>
      <c r="D169" s="36" t="n"/>
      <c r="E169" s="38" t="n"/>
      <c r="F169" s="38" t="n"/>
      <c r="G169" s="38" t="n"/>
      <c r="H169" s="40" t="n"/>
      <c r="I169" s="40" t="n"/>
      <c r="J169" s="40" t="n">
        <v>1</v>
      </c>
      <c r="K169" s="10">
        <f t="array" ref="K169">SUM($B169:$J169*TRANSPOSE(K$149:K$157))</f>
        <v/>
      </c>
      <c r="M169" s="8">
        <f t="array" ref="M169">SUM($B169:$J169*TRANSPOSE(M$149:M$157))</f>
        <v/>
      </c>
      <c r="O169" s="9">
        <f t="array" ref="O169">SUM($B169:$J169*TRANSPOSE(O$149:O$157))</f>
        <v/>
      </c>
      <c r="Q169" s="10">
        <f t="array" ref="Q169">SUM($B169:$J169*TRANSPOSE(Q$149:Q$157))</f>
        <v/>
      </c>
      <c r="S169" s="8">
        <f t="array" ref="S169">SUM($B169:$J169*TRANSPOSE(S$149:S$157))</f>
        <v/>
      </c>
      <c r="U169" s="9">
        <f t="array" ref="U169">SUM($B169:$J169*TRANSPOSE(U$149:U$157))</f>
        <v/>
      </c>
      <c r="W169" s="10">
        <f t="array" ref="W169">SUM($B169:$J169*TRANSPOSE(W$149:W$157))</f>
        <v/>
      </c>
      <c r="Y169" s="8">
        <f t="array" ref="Y169">SUM($B169:$J169*TRANSPOSE(Y$149:Y$157))</f>
        <v/>
      </c>
    </row>
    <row r="170">
      <c r="A170" s="2" t="inlineStr">
        <is>
          <t>1A + 1C12 + 1c12 + 1c1/</t>
        </is>
      </c>
      <c r="B170" s="36" t="n">
        <v>1</v>
      </c>
      <c r="C170" s="36" t="n"/>
      <c r="D170" s="36" t="n"/>
      <c r="E170" s="38" t="n">
        <v>1</v>
      </c>
      <c r="F170" s="38" t="n">
        <v>1</v>
      </c>
      <c r="G170" s="38" t="n"/>
      <c r="H170" s="40" t="n"/>
      <c r="I170" s="40" t="n"/>
      <c r="J170" s="40" t="n">
        <v>1</v>
      </c>
      <c r="K170" s="10">
        <f t="array" ref="K170">SUM($B170:$J170*TRANSPOSE(K$149:K$157))</f>
        <v/>
      </c>
      <c r="M170" s="8">
        <f t="array" ref="M170">SUM($B170:$J170*TRANSPOSE(M$149:M$157))</f>
        <v/>
      </c>
      <c r="O170" s="9">
        <f t="array" ref="O170">SUM($B170:$J170*TRANSPOSE(O$149:O$157))</f>
        <v/>
      </c>
      <c r="Q170" s="10">
        <f t="array" ref="Q170">SUM($B170:$J170*TRANSPOSE(Q$149:Q$157))</f>
        <v/>
      </c>
      <c r="S170" s="8">
        <f t="array" ref="S170">SUM($B170:$J170*TRANSPOSE(S$149:S$157))</f>
        <v/>
      </c>
      <c r="U170" s="9">
        <f t="array" ref="U170">SUM($B170:$J170*TRANSPOSE(U$149:U$157))</f>
        <v/>
      </c>
      <c r="W170" s="10">
        <f t="array" ref="W170">SUM($B170:$J170*TRANSPOSE(W$149:W$157))</f>
        <v/>
      </c>
      <c r="Y170" s="8">
        <f t="array" ref="Y170">SUM($B170:$J170*TRANSPOSE(Y$149:Y$157))</f>
        <v/>
      </c>
    </row>
    <row r="171">
      <c r="A171" s="2" t="inlineStr">
        <is>
          <t>2A + 1c12 + 1c1/</t>
        </is>
      </c>
      <c r="B171" s="36" t="n">
        <v>2</v>
      </c>
      <c r="C171" s="36" t="n"/>
      <c r="D171" s="36" t="n"/>
      <c r="E171" s="38" t="n"/>
      <c r="F171" s="38" t="n">
        <v>1</v>
      </c>
      <c r="G171" s="38" t="n"/>
      <c r="H171" s="40" t="n"/>
      <c r="I171" s="40" t="n"/>
      <c r="J171" s="40" t="n">
        <v>1</v>
      </c>
      <c r="K171" s="10">
        <f t="array" ref="K171">SUM($B171:$J171*TRANSPOSE(K$149:K$157))</f>
        <v/>
      </c>
      <c r="M171" s="8">
        <f t="array" ref="M171">SUM($B171:$J171*TRANSPOSE(M$149:M$157))</f>
        <v/>
      </c>
      <c r="O171" s="9">
        <f t="array" ref="O171">SUM($B171:$J171*TRANSPOSE(O$149:O$157))</f>
        <v/>
      </c>
      <c r="Q171" s="10">
        <f t="array" ref="Q171">SUM($B171:$J171*TRANSPOSE(Q$149:Q$157))</f>
        <v/>
      </c>
      <c r="S171" s="8">
        <f t="array" ref="S171">SUM($B171:$J171*TRANSPOSE(S$149:S$157))</f>
        <v/>
      </c>
      <c r="U171" s="9">
        <f t="array" ref="U171">SUM($B171:$J171*TRANSPOSE(U$149:U$157))</f>
        <v/>
      </c>
      <c r="W171" s="10">
        <f t="array" ref="W171">SUM($B171:$J171*TRANSPOSE(W$149:W$157))</f>
        <v/>
      </c>
      <c r="Y171" s="8">
        <f t="array" ref="Y171">SUM($B171:$J171*TRANSPOSE(Y$149:Y$157))</f>
        <v/>
      </c>
    </row>
    <row r="172">
      <c r="A172" s="2" t="inlineStr">
        <is>
          <t>1A + 1C12 + 3c12</t>
        </is>
      </c>
      <c r="B172" s="36" t="n">
        <v>1</v>
      </c>
      <c r="C172" s="36" t="n"/>
      <c r="D172" s="36" t="n"/>
      <c r="E172" s="38" t="n">
        <v>1</v>
      </c>
      <c r="F172" s="38" t="n">
        <v>3</v>
      </c>
      <c r="G172" s="38" t="n"/>
      <c r="H172" s="40" t="n"/>
      <c r="I172" s="40" t="n"/>
      <c r="J172" s="40" t="n"/>
      <c r="K172" s="10">
        <f t="array" ref="K172">SUM($B172:$J172*TRANSPOSE(K$149:K$157))</f>
        <v/>
      </c>
      <c r="M172" s="8">
        <f t="array" ref="M172">SUM($B172:$J172*TRANSPOSE(M$149:M$157))</f>
        <v/>
      </c>
      <c r="O172" s="9">
        <f t="array" ref="O172">SUM($B172:$J172*TRANSPOSE(O$149:O$157))</f>
        <v/>
      </c>
      <c r="Q172" s="10">
        <f t="array" ref="Q172">SUM($B172:$J172*TRANSPOSE(Q$149:Q$157))</f>
        <v/>
      </c>
      <c r="S172" s="8">
        <f t="array" ref="S172">SUM($B172:$J172*TRANSPOSE(S$149:S$157))</f>
        <v/>
      </c>
      <c r="U172" s="9">
        <f t="array" ref="U172">SUM($B172:$J172*TRANSPOSE(U$149:U$157))</f>
        <v/>
      </c>
      <c r="W172" s="10">
        <f t="array" ref="W172">SUM($B172:$J172*TRANSPOSE(W$149:W$157))</f>
        <v/>
      </c>
      <c r="Y172" s="8">
        <f t="array" ref="Y172">SUM($B172:$J172*TRANSPOSE(Y$149:Y$157))</f>
        <v/>
      </c>
    </row>
    <row r="173">
      <c r="A173" s="2" t="inlineStr">
        <is>
          <t>2A + 3c12</t>
        </is>
      </c>
      <c r="B173" s="36" t="n">
        <v>2</v>
      </c>
      <c r="C173" s="36" t="n"/>
      <c r="D173" s="36" t="n"/>
      <c r="E173" s="38" t="n"/>
      <c r="F173" s="38" t="n">
        <v>3</v>
      </c>
      <c r="G173" s="38" t="n"/>
      <c r="H173" s="40" t="n"/>
      <c r="I173" s="40" t="n"/>
      <c r="J173" s="40" t="n"/>
      <c r="K173" s="10">
        <f t="array" ref="K173">SUM($B173:$J173*TRANSPOSE(K$149:K$157))</f>
        <v/>
      </c>
      <c r="M173" s="8">
        <f t="array" ref="M173">SUM($B173:$J173*TRANSPOSE(M$149:M$157))</f>
        <v/>
      </c>
      <c r="O173" s="9">
        <f t="array" ref="O173">SUM($B173:$J173*TRANSPOSE(O$149:O$157))</f>
        <v/>
      </c>
      <c r="Q173" s="10">
        <f t="array" ref="Q173">SUM($B173:$J173*TRANSPOSE(Q$149:Q$157))</f>
        <v/>
      </c>
      <c r="S173" s="8">
        <f t="array" ref="S173">SUM($B173:$J173*TRANSPOSE(S$149:S$157))</f>
        <v/>
      </c>
      <c r="U173" s="9">
        <f t="array" ref="U173">SUM($B173:$J173*TRANSPOSE(U$149:U$157))</f>
        <v/>
      </c>
      <c r="W173" s="10">
        <f t="array" ref="W173">SUM($B173:$J173*TRANSPOSE(W$149:W$157))</f>
        <v/>
      </c>
      <c r="Y173" s="8">
        <f t="array" ref="Y173">SUM($B173:$J173*TRANSPOSE(Y$149:Y$157))</f>
        <v/>
      </c>
    </row>
    <row r="174">
      <c r="A174" s="2" t="inlineStr">
        <is>
          <t>2A + 1a + 2c12</t>
        </is>
      </c>
      <c r="B174" s="36" t="n">
        <v>2</v>
      </c>
      <c r="C174" s="36" t="n">
        <v>1</v>
      </c>
      <c r="D174" s="36" t="n"/>
      <c r="E174" s="38" t="n"/>
      <c r="F174" s="38" t="n">
        <v>2</v>
      </c>
      <c r="G174" s="38" t="n"/>
      <c r="H174" s="40" t="n"/>
      <c r="I174" s="40" t="n"/>
      <c r="J174" s="40" t="n"/>
      <c r="K174" s="10">
        <f t="array" ref="K174">SUM($B174:$J174*TRANSPOSE(K$149:K$157))</f>
        <v/>
      </c>
      <c r="M174" s="8">
        <f t="array" ref="M174">SUM($B174:$J174*TRANSPOSE(M$149:M$157))</f>
        <v/>
      </c>
      <c r="O174" s="9">
        <f t="array" ref="O174">SUM($B174:$J174*TRANSPOSE(O$149:O$157))</f>
        <v/>
      </c>
      <c r="Q174" s="10">
        <f t="array" ref="Q174">SUM($B174:$J174*TRANSPOSE(Q$149:Q$157))</f>
        <v/>
      </c>
      <c r="S174" s="8">
        <f t="array" ref="S174">SUM($B174:$J174*TRANSPOSE(S$149:S$157))</f>
        <v/>
      </c>
      <c r="U174" s="9">
        <f t="array" ref="U174">SUM($B174:$J174*TRANSPOSE(U$149:U$157))</f>
        <v/>
      </c>
      <c r="W174" s="10">
        <f t="array" ref="W174">SUM($B174:$J174*TRANSPOSE(W$149:W$157))</f>
        <v/>
      </c>
      <c r="Y174" s="8">
        <f t="array" ref="Y174">SUM($B174:$J174*TRANSPOSE(Y$149:Y$157))</f>
        <v/>
      </c>
    </row>
    <row r="175">
      <c r="A175" s="2" t="inlineStr">
        <is>
          <t>2A + 2a + 1c12</t>
        </is>
      </c>
      <c r="B175" s="36" t="n">
        <v>2</v>
      </c>
      <c r="C175" s="36" t="n">
        <v>2</v>
      </c>
      <c r="D175" s="36" t="n"/>
      <c r="E175" s="38" t="n"/>
      <c r="F175" s="38" t="n">
        <v>1</v>
      </c>
      <c r="G175" s="38" t="n"/>
      <c r="H175" s="40" t="n"/>
      <c r="I175" s="40" t="n"/>
      <c r="J175" s="40" t="n"/>
      <c r="K175" s="10">
        <f t="array" ref="K175">SUM($B175:$J175*TRANSPOSE(K$149:K$157))</f>
        <v/>
      </c>
      <c r="M175" s="8">
        <f t="array" ref="M175">SUM($B175:$J175*TRANSPOSE(M$149:M$157))</f>
        <v/>
      </c>
      <c r="O175" s="9">
        <f t="array" ref="O175">SUM($B175:$J175*TRANSPOSE(O$149:O$157))</f>
        <v/>
      </c>
      <c r="Q175" s="10">
        <f t="array" ref="Q175">SUM($B175:$J175*TRANSPOSE(Q$149:Q$157))</f>
        <v/>
      </c>
      <c r="S175" s="8">
        <f t="array" ref="S175">SUM($B175:$J175*TRANSPOSE(S$149:S$157))</f>
        <v/>
      </c>
      <c r="U175" s="9">
        <f t="array" ref="U175">SUM($B175:$J175*TRANSPOSE(U$149:U$157))</f>
        <v/>
      </c>
      <c r="W175" s="10">
        <f t="array" ref="W175">SUM($B175:$J175*TRANSPOSE(W$149:W$157))</f>
        <v/>
      </c>
      <c r="Y175" s="8">
        <f t="array" ref="Y175">SUM($B175:$J175*TRANSPOSE(Y$149:Y$157))</f>
        <v/>
      </c>
    </row>
    <row r="176">
      <c r="A176" s="2" t="inlineStr">
        <is>
          <t>2A + 2a + 1c1/</t>
        </is>
      </c>
      <c r="B176" s="36" t="n">
        <v>2</v>
      </c>
      <c r="C176" s="36" t="n">
        <v>2</v>
      </c>
      <c r="D176" s="36" t="n"/>
      <c r="E176" s="38" t="n"/>
      <c r="F176" s="38" t="n"/>
      <c r="G176" s="38" t="n"/>
      <c r="H176" s="40" t="n"/>
      <c r="I176" s="40" t="n"/>
      <c r="J176" s="40" t="n">
        <v>1</v>
      </c>
      <c r="K176" s="10">
        <f t="array" ref="K176">SUM($B176:$J176*TRANSPOSE(K$149:K$157))</f>
        <v/>
      </c>
      <c r="M176" s="8">
        <f t="array" ref="M176">SUM($B176:$J176*TRANSPOSE(M$149:M$157))</f>
        <v/>
      </c>
      <c r="O176" s="9">
        <f t="array" ref="O176">SUM($B176:$J176*TRANSPOSE(O$149:O$157))</f>
        <v/>
      </c>
      <c r="Q176" s="10">
        <f t="array" ref="Q176">SUM($B176:$J176*TRANSPOSE(Q$149:Q$157))</f>
        <v/>
      </c>
      <c r="S176" s="8">
        <f t="array" ref="S176">SUM($B176:$J176*TRANSPOSE(S$149:S$157))</f>
        <v/>
      </c>
      <c r="U176" s="9">
        <f t="array" ref="U176">SUM($B176:$J176*TRANSPOSE(U$149:U$157))</f>
        <v/>
      </c>
      <c r="W176" s="10">
        <f t="array" ref="W176">SUM($B176:$J176*TRANSPOSE(W$149:W$157))</f>
        <v/>
      </c>
      <c r="Y176" s="8">
        <f t="array" ref="Y176">SUM($B176:$J176*TRANSPOSE(Y$149:Y$157))</f>
        <v/>
      </c>
    </row>
    <row r="177">
      <c r="A177" s="2" t="inlineStr">
        <is>
          <t>1A + 1C12 + 2c12 + 1c1/</t>
        </is>
      </c>
      <c r="B177" s="36" t="n">
        <v>1</v>
      </c>
      <c r="C177" s="36" t="n"/>
      <c r="D177" s="36" t="n"/>
      <c r="E177" s="38" t="n">
        <v>1</v>
      </c>
      <c r="F177" s="38" t="n">
        <v>2</v>
      </c>
      <c r="G177" s="38" t="n"/>
      <c r="H177" s="40" t="n"/>
      <c r="I177" s="40" t="n"/>
      <c r="J177" s="40" t="n">
        <v>1</v>
      </c>
      <c r="K177" s="10">
        <f t="array" ref="K177">SUM($B177:$J177*TRANSPOSE(K$149:K$157))</f>
        <v/>
      </c>
      <c r="M177" s="8">
        <f t="array" ref="M177">SUM($B177:$J177*TRANSPOSE(M$149:M$157))</f>
        <v/>
      </c>
      <c r="O177" s="9">
        <f t="array" ref="O177">SUM($B177:$J177*TRANSPOSE(O$149:O$157))</f>
        <v/>
      </c>
      <c r="Q177" s="10">
        <f t="array" ref="Q177">SUM($B177:$J177*TRANSPOSE(Q$149:Q$157))</f>
        <v/>
      </c>
      <c r="S177" s="8">
        <f t="array" ref="S177">SUM($B177:$J177*TRANSPOSE(S$149:S$157))</f>
        <v/>
      </c>
      <c r="U177" s="9">
        <f t="array" ref="U177">SUM($B177:$J177*TRANSPOSE(U$149:U$157))</f>
        <v/>
      </c>
      <c r="W177" s="10">
        <f t="array" ref="W177">SUM($B177:$J177*TRANSPOSE(W$149:W$157))</f>
        <v/>
      </c>
      <c r="Y177" s="8">
        <f t="array" ref="Y177">SUM($B177:$J177*TRANSPOSE(Y$149:Y$157))</f>
        <v/>
      </c>
    </row>
    <row r="178">
      <c r="A178" s="2" t="inlineStr">
        <is>
          <t>2A + 2c12 + 1c1/</t>
        </is>
      </c>
      <c r="B178" s="36" t="n">
        <v>2</v>
      </c>
      <c r="C178" s="36" t="n"/>
      <c r="D178" s="36" t="n"/>
      <c r="E178" s="38" t="n"/>
      <c r="F178" s="38" t="n">
        <v>2</v>
      </c>
      <c r="G178" s="38" t="n"/>
      <c r="H178" s="40" t="n"/>
      <c r="I178" s="40" t="n"/>
      <c r="J178" s="40" t="n">
        <v>1</v>
      </c>
      <c r="K178" s="10">
        <f t="array" ref="K178">SUM($B178:$J178*TRANSPOSE(K$149:K$157))</f>
        <v/>
      </c>
      <c r="M178" s="8">
        <f t="array" ref="M178">SUM($B178:$J178*TRANSPOSE(M$149:M$157))</f>
        <v/>
      </c>
      <c r="O178" s="9">
        <f t="array" ref="O178">SUM($B178:$J178*TRANSPOSE(O$149:O$157))</f>
        <v/>
      </c>
      <c r="Q178" s="10">
        <f t="array" ref="Q178">SUM($B178:$J178*TRANSPOSE(Q$149:Q$157))</f>
        <v/>
      </c>
      <c r="S178" s="8">
        <f t="array" ref="S178">SUM($B178:$J178*TRANSPOSE(S$149:S$157))</f>
        <v/>
      </c>
      <c r="U178" s="9">
        <f t="array" ref="U178">SUM($B178:$J178*TRANSPOSE(U$149:U$157))</f>
        <v/>
      </c>
      <c r="W178" s="10">
        <f t="array" ref="W178">SUM($B178:$J178*TRANSPOSE(W$149:W$157))</f>
        <v/>
      </c>
      <c r="Y178" s="8">
        <f t="array" ref="Y178">SUM($B178:$J178*TRANSPOSE(Y$149:Y$157))</f>
        <v/>
      </c>
    </row>
    <row r="179">
      <c r="A179" s="2" t="inlineStr">
        <is>
          <t>2A + 1a + 1c12 + 1c1/</t>
        </is>
      </c>
      <c r="B179" s="36" t="n">
        <v>2</v>
      </c>
      <c r="C179" s="36" t="n">
        <v>1</v>
      </c>
      <c r="D179" s="36" t="n"/>
      <c r="E179" s="38" t="n"/>
      <c r="F179" s="38" t="n">
        <v>1</v>
      </c>
      <c r="G179" s="38" t="n"/>
      <c r="H179" s="40" t="n"/>
      <c r="I179" s="40" t="n"/>
      <c r="J179" s="40" t="n">
        <v>1</v>
      </c>
      <c r="K179" s="10">
        <f t="array" ref="K179">SUM($B179:$J179*TRANSPOSE(K$149:K$157))</f>
        <v/>
      </c>
      <c r="M179" s="8">
        <f t="array" ref="M179">SUM($B179:$J179*TRANSPOSE(M$149:M$157))</f>
        <v/>
      </c>
      <c r="O179" s="9">
        <f t="array" ref="O179">SUM($B179:$J179*TRANSPOSE(O$149:O$157))</f>
        <v/>
      </c>
      <c r="Q179" s="10">
        <f t="array" ref="Q179">SUM($B179:$J179*TRANSPOSE(Q$149:Q$157))</f>
        <v/>
      </c>
      <c r="S179" s="8">
        <f t="array" ref="S179">SUM($B179:$J179*TRANSPOSE(S$149:S$157))</f>
        <v/>
      </c>
      <c r="U179" s="9">
        <f t="array" ref="U179">SUM($B179:$J179*TRANSPOSE(U$149:U$157))</f>
        <v/>
      </c>
      <c r="W179" s="10">
        <f t="array" ref="W179">SUM($B179:$J179*TRANSPOSE(W$149:W$157))</f>
        <v/>
      </c>
      <c r="Y179" s="8">
        <f t="array" ref="Y179">SUM($B179:$J179*TRANSPOSE(Y$149:Y$157))</f>
        <v/>
      </c>
    </row>
    <row r="180"/>
    <row r="181"/>
    <row r="182" ht="21" customHeight="1">
      <c r="A182" s="3" t="inlineStr">
        <is>
          <t>Room</t>
        </is>
      </c>
      <c r="B182" s="4" t="inlineStr">
        <is>
          <t>Family Room Lateral Sea View (F1LB)</t>
        </is>
      </c>
      <c r="C182" s="4" t="inlineStr">
        <is>
          <t>Family</t>
        </is>
      </c>
    </row>
    <row r="183"/>
    <row r="184">
      <c r="I184" s="1" t="inlineStr">
        <is>
          <t>Bed prices</t>
        </is>
      </c>
      <c r="K184" s="10" t="inlineStr">
        <is>
          <t>All  Inclusive</t>
        </is>
      </c>
      <c r="M184" s="8" t="inlineStr">
        <is>
          <t>All  Inclusive</t>
        </is>
      </c>
      <c r="O184" s="9" t="inlineStr">
        <is>
          <t>All  Inclusive</t>
        </is>
      </c>
      <c r="Q184" s="10" t="inlineStr">
        <is>
          <t>All  Inclusive</t>
        </is>
      </c>
      <c r="S184" s="8" t="inlineStr">
        <is>
          <t>All  Inclusive</t>
        </is>
      </c>
      <c r="U184" s="9" t="inlineStr">
        <is>
          <t>All  Inclusive</t>
        </is>
      </c>
      <c r="W184" s="10" t="inlineStr">
        <is>
          <t>All  Inclusive</t>
        </is>
      </c>
      <c r="Y184" s="8" t="inlineStr">
        <is>
          <t>All  Inclusive</t>
        </is>
      </c>
    </row>
    <row r="185">
      <c r="I185" s="5" t="inlineStr">
        <is>
          <t>Adult</t>
        </is>
      </c>
      <c r="J185" s="5" t="inlineStr">
        <is>
          <t>MB</t>
        </is>
      </c>
      <c r="K185" s="16" t="n"/>
      <c r="L185" s="13" t="n"/>
      <c r="M185" s="18" t="n"/>
      <c r="N185" s="13" t="n"/>
      <c r="O185" s="12" t="n"/>
      <c r="P185" s="13" t="n"/>
      <c r="Q185" s="16" t="n"/>
      <c r="R185" s="13" t="n"/>
      <c r="S185" s="18" t="n"/>
      <c r="T185" s="13" t="n"/>
      <c r="U185" s="12" t="n"/>
      <c r="V185" s="13" t="n"/>
      <c r="W185" s="16" t="n"/>
      <c r="X185" s="13" t="n"/>
      <c r="Y185" s="18" t="n"/>
    </row>
    <row r="186">
      <c r="I186" s="5" t="n"/>
      <c r="J186" s="5" t="inlineStr">
        <is>
          <t>ExB</t>
        </is>
      </c>
      <c r="K186" s="15">
        <f>K185*0.85</f>
        <v/>
      </c>
      <c r="L186" s="14" t="n"/>
      <c r="M186" s="15">
        <f>M185*0.85</f>
        <v/>
      </c>
      <c r="N186" s="33">
        <f>N185*0.85</f>
        <v/>
      </c>
      <c r="O186" s="15">
        <f>O185*0.85</f>
        <v/>
      </c>
      <c r="P186" s="33">
        <f>P185*0.85</f>
        <v/>
      </c>
      <c r="Q186" s="15">
        <f>Q185*0.85</f>
        <v/>
      </c>
      <c r="R186" s="33">
        <f>R185*0.85</f>
        <v/>
      </c>
      <c r="S186" s="15">
        <f>S185*0.85</f>
        <v/>
      </c>
      <c r="T186" s="33">
        <f>T185*0.85</f>
        <v/>
      </c>
      <c r="U186" s="15">
        <f>U185*0.85</f>
        <v/>
      </c>
      <c r="V186" s="33">
        <f>V185*0.85</f>
        <v/>
      </c>
      <c r="W186" s="15">
        <f>W185*0.85</f>
        <v/>
      </c>
      <c r="X186" s="33">
        <f>X185*0.85</f>
        <v/>
      </c>
      <c r="Y186" s="15">
        <f>Y185*0.85</f>
        <v/>
      </c>
    </row>
    <row r="187">
      <c r="I187" s="5" t="n"/>
      <c r="J187" s="5" t="inlineStr">
        <is>
          <t>W/oB</t>
        </is>
      </c>
      <c r="K187" s="15" t="n"/>
      <c r="L187" s="14" t="n"/>
      <c r="M187" s="17" t="n"/>
      <c r="N187" s="14" t="n"/>
      <c r="O187" s="11" t="n"/>
      <c r="P187" s="14" t="n"/>
      <c r="Q187" s="15" t="n"/>
      <c r="R187" s="14" t="n"/>
      <c r="S187" s="17" t="n"/>
      <c r="T187" s="14" t="n"/>
      <c r="U187" s="11" t="n"/>
      <c r="V187" s="14" t="n"/>
      <c r="W187" s="15" t="n"/>
      <c r="X187" s="14" t="n"/>
      <c r="Y187" s="17" t="n"/>
    </row>
    <row r="188" customFormat="1" s="41">
      <c r="I188" s="42" t="inlineStr">
        <is>
          <t>Child 2-12</t>
        </is>
      </c>
      <c r="J188" s="42" t="inlineStr">
        <is>
          <t>MB</t>
        </is>
      </c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</row>
    <row r="189">
      <c r="I189" s="6" t="n"/>
      <c r="J189" s="6" t="inlineStr">
        <is>
          <t>ExB</t>
        </is>
      </c>
      <c r="K189" s="15">
        <f>K185*0.5</f>
        <v/>
      </c>
      <c r="L189" s="14" t="n"/>
      <c r="M189" s="15">
        <f>M185*0.5</f>
        <v/>
      </c>
      <c r="N189" s="33">
        <f>N185*0.5</f>
        <v/>
      </c>
      <c r="O189" s="15">
        <f>O185*0.5</f>
        <v/>
      </c>
      <c r="P189" s="33">
        <f>P185*0.5</f>
        <v/>
      </c>
      <c r="Q189" s="15">
        <f>Q185*0.5</f>
        <v/>
      </c>
      <c r="R189" s="33">
        <f>R185*0.5</f>
        <v/>
      </c>
      <c r="S189" s="15">
        <f>S185*0.5</f>
        <v/>
      </c>
      <c r="T189" s="33">
        <f>T185*0.5</f>
        <v/>
      </c>
      <c r="U189" s="15">
        <f>U185*0.5</f>
        <v/>
      </c>
      <c r="V189" s="33">
        <f>V185*0.5</f>
        <v/>
      </c>
      <c r="W189" s="15">
        <f>W185*0.5</f>
        <v/>
      </c>
      <c r="X189" s="33">
        <f>X185*0.5</f>
        <v/>
      </c>
      <c r="Y189" s="15">
        <f>Y185*0.5</f>
        <v/>
      </c>
    </row>
    <row r="190">
      <c r="I190" s="6" t="n"/>
      <c r="J190" s="6" t="inlineStr">
        <is>
          <t>W/oB</t>
        </is>
      </c>
      <c r="K190" s="15" t="n"/>
      <c r="L190" s="14" t="n"/>
      <c r="M190" s="17" t="n"/>
      <c r="N190" s="14" t="n"/>
      <c r="O190" s="11" t="n"/>
      <c r="P190" s="14" t="n"/>
      <c r="Q190" s="15" t="n"/>
      <c r="R190" s="14" t="n"/>
      <c r="S190" s="17" t="n"/>
      <c r="T190" s="14" t="n"/>
      <c r="U190" s="11" t="n"/>
      <c r="V190" s="14" t="n"/>
      <c r="W190" s="15" t="n"/>
      <c r="X190" s="14" t="n"/>
      <c r="Y190" s="17" t="n"/>
    </row>
    <row r="191">
      <c r="I191" s="7" t="inlineStr">
        <is>
          <t>Infant 0-1</t>
        </is>
      </c>
      <c r="J191" s="7" t="inlineStr">
        <is>
          <t>MB</t>
        </is>
      </c>
      <c r="K191" s="15" t="n"/>
      <c r="L191" s="14" t="n"/>
      <c r="M191" s="17" t="n"/>
      <c r="N191" s="14" t="n"/>
      <c r="O191" s="11" t="n"/>
      <c r="P191" s="14" t="n"/>
      <c r="Q191" s="15" t="n"/>
      <c r="R191" s="14" t="n"/>
      <c r="S191" s="17" t="n"/>
      <c r="T191" s="14" t="n"/>
      <c r="U191" s="11" t="n"/>
      <c r="V191" s="14" t="n"/>
      <c r="W191" s="15" t="n"/>
      <c r="X191" s="14" t="n"/>
      <c r="Y191" s="17" t="n"/>
    </row>
    <row r="192">
      <c r="I192" s="7" t="n"/>
      <c r="J192" s="7" t="inlineStr">
        <is>
          <t>ExB</t>
        </is>
      </c>
      <c r="K192" s="15" t="n"/>
      <c r="L192" s="14" t="n"/>
      <c r="M192" s="17" t="n"/>
      <c r="N192" s="14" t="n"/>
      <c r="O192" s="11" t="n"/>
      <c r="P192" s="14" t="n"/>
      <c r="Q192" s="15" t="n"/>
      <c r="R192" s="14" t="n"/>
      <c r="S192" s="17" t="n"/>
      <c r="T192" s="14" t="n"/>
      <c r="U192" s="11" t="n"/>
      <c r="V192" s="14" t="n"/>
      <c r="W192" s="15" t="n"/>
      <c r="X192" s="14" t="n"/>
      <c r="Y192" s="17" t="n"/>
    </row>
    <row r="193">
      <c r="I193" s="7" t="n"/>
      <c r="J193" s="7" t="inlineStr">
        <is>
          <t>W/oB</t>
        </is>
      </c>
      <c r="K193" s="15" t="n"/>
      <c r="L193" s="14" t="n"/>
      <c r="M193" s="17" t="n"/>
      <c r="N193" s="14" t="n"/>
      <c r="O193" s="11" t="n"/>
      <c r="P193" s="14" t="n"/>
      <c r="Q193" s="15" t="n"/>
      <c r="R193" s="14" t="n"/>
      <c r="S193" s="17" t="n"/>
      <c r="T193" s="14" t="n"/>
      <c r="U193" s="11" t="n"/>
      <c r="V193" s="14" t="n"/>
      <c r="W193" s="15" t="n"/>
      <c r="X193" s="14" t="n"/>
      <c r="Y193" s="17" t="n"/>
    </row>
    <row r="194">
      <c r="K194" s="10" t="n"/>
      <c r="M194" s="8" t="n"/>
      <c r="O194" s="9" t="n"/>
      <c r="Q194" s="10" t="n"/>
      <c r="S194" s="8" t="n"/>
      <c r="U194" s="9" t="n"/>
      <c r="W194" s="10" t="n"/>
      <c r="Y194" s="8" t="n"/>
    </row>
    <row r="195" ht="18" customHeight="1">
      <c r="A195" s="19" t="inlineStr">
        <is>
          <t>Prices</t>
        </is>
      </c>
      <c r="B195" s="35" t="inlineStr">
        <is>
          <t>Adult</t>
        </is>
      </c>
      <c r="E195" s="37" t="inlineStr">
        <is>
          <t>Child 2-12</t>
        </is>
      </c>
      <c r="H195" s="39" t="inlineStr">
        <is>
          <t>Infant 0-1</t>
        </is>
      </c>
      <c r="K195" s="25" t="inlineStr">
        <is>
          <t>01/11/2026</t>
        </is>
      </c>
      <c r="L195" s="10" t="inlineStr">
        <is>
          <t>min stay 3</t>
        </is>
      </c>
      <c r="M195" s="23" t="inlineStr">
        <is>
          <t>24/12/2026</t>
        </is>
      </c>
      <c r="N195" s="8" t="inlineStr">
        <is>
          <t>min stay 3</t>
        </is>
      </c>
      <c r="O195" s="24" t="inlineStr">
        <is>
          <t>02/01/2027</t>
        </is>
      </c>
      <c r="P195" s="9" t="inlineStr">
        <is>
          <t>min stay 3</t>
        </is>
      </c>
      <c r="Q195" s="25" t="inlineStr">
        <is>
          <t>30/01/2027</t>
        </is>
      </c>
      <c r="R195" s="10" t="inlineStr">
        <is>
          <t>min stay 3</t>
        </is>
      </c>
      <c r="S195" s="23" t="inlineStr">
        <is>
          <t>01/04/2027</t>
        </is>
      </c>
      <c r="T195" s="8" t="inlineStr">
        <is>
          <t>min stay 3</t>
        </is>
      </c>
      <c r="U195" s="24" t="inlineStr">
        <is>
          <t>01/05/2027</t>
        </is>
      </c>
      <c r="V195" s="9" t="inlineStr">
        <is>
          <t>min stay 3</t>
        </is>
      </c>
      <c r="W195" s="25" t="inlineStr">
        <is>
          <t>10/07/2027</t>
        </is>
      </c>
      <c r="X195" s="10" t="inlineStr">
        <is>
          <t>min stay 3</t>
        </is>
      </c>
      <c r="Y195" s="23" t="inlineStr">
        <is>
          <t>21/08/2027</t>
        </is>
      </c>
      <c r="Z195" s="8" t="inlineStr">
        <is>
          <t>min stay 3</t>
        </is>
      </c>
    </row>
    <row r="196">
      <c r="B196" s="5" t="n">
        <v>13</v>
      </c>
      <c r="C196" s="5" t="n">
        <v>150</v>
      </c>
      <c r="D196" s="5" t="n"/>
      <c r="E196" s="6" t="n">
        <v>2</v>
      </c>
      <c r="F196" s="6" t="n">
        <v>12</v>
      </c>
      <c r="G196" s="6" t="n"/>
      <c r="H196" s="7" t="n">
        <v>0</v>
      </c>
      <c r="I196" s="7" t="n">
        <v>1</v>
      </c>
      <c r="J196" s="7" t="n"/>
      <c r="K196" s="25" t="inlineStr">
        <is>
          <t>23/12/2026</t>
        </is>
      </c>
      <c r="L196" s="10" t="inlineStr">
        <is>
          <t>type Contract Rate</t>
        </is>
      </c>
      <c r="M196" s="23" t="inlineStr">
        <is>
          <t>01/01/2027</t>
        </is>
      </c>
      <c r="N196" s="8" t="inlineStr">
        <is>
          <t>type Contract Rate</t>
        </is>
      </c>
      <c r="O196" s="24" t="inlineStr">
        <is>
          <t>29/01/2027</t>
        </is>
      </c>
      <c r="P196" s="9" t="inlineStr">
        <is>
          <t>type Contract Rate</t>
        </is>
      </c>
      <c r="Q196" s="25" t="inlineStr">
        <is>
          <t>31/03/2027</t>
        </is>
      </c>
      <c r="R196" s="10" t="inlineStr">
        <is>
          <t>type Contract Rate</t>
        </is>
      </c>
      <c r="S196" s="23" t="inlineStr">
        <is>
          <t>30/04/2027</t>
        </is>
      </c>
      <c r="T196" s="8" t="inlineStr">
        <is>
          <t>type Contract Rate</t>
        </is>
      </c>
      <c r="U196" s="24" t="inlineStr">
        <is>
          <t>09/07/2027</t>
        </is>
      </c>
      <c r="V196" s="9" t="inlineStr">
        <is>
          <t>type Contract Rate</t>
        </is>
      </c>
      <c r="W196" s="25" t="inlineStr">
        <is>
          <t>20/08/2027</t>
        </is>
      </c>
      <c r="X196" s="10" t="inlineStr">
        <is>
          <t>type Contract Rate</t>
        </is>
      </c>
      <c r="Y196" s="23" t="inlineStr">
        <is>
          <t>31/10/2027</t>
        </is>
      </c>
      <c r="Z196" s="8" t="inlineStr">
        <is>
          <t>type Contract Rate</t>
        </is>
      </c>
    </row>
    <row r="197">
      <c r="B197" s="36" t="inlineStr">
        <is>
          <t>MB</t>
        </is>
      </c>
      <c r="C197" s="36" t="inlineStr">
        <is>
          <t>ExB</t>
        </is>
      </c>
      <c r="D197" s="36" t="inlineStr">
        <is>
          <t>W/oB</t>
        </is>
      </c>
      <c r="E197" s="38" t="inlineStr">
        <is>
          <t>MB</t>
        </is>
      </c>
      <c r="F197" s="38" t="inlineStr">
        <is>
          <t>ExB</t>
        </is>
      </c>
      <c r="G197" s="38" t="inlineStr">
        <is>
          <t>W/oB</t>
        </is>
      </c>
      <c r="H197" s="40" t="inlineStr">
        <is>
          <t>MB</t>
        </is>
      </c>
      <c r="I197" s="40" t="inlineStr">
        <is>
          <t>ExB</t>
        </is>
      </c>
      <c r="J197" s="40" t="inlineStr">
        <is>
          <t>W/oB</t>
        </is>
      </c>
      <c r="K197" s="10" t="inlineStr">
        <is>
          <t>All  Inclusive</t>
        </is>
      </c>
      <c r="M197" s="8" t="inlineStr">
        <is>
          <t>All  Inclusive</t>
        </is>
      </c>
      <c r="O197" s="9" t="inlineStr">
        <is>
          <t>All  Inclusive</t>
        </is>
      </c>
      <c r="Q197" s="10" t="inlineStr">
        <is>
          <t>All  Inclusive</t>
        </is>
      </c>
      <c r="S197" s="8" t="inlineStr">
        <is>
          <t>All  Inclusive</t>
        </is>
      </c>
      <c r="U197" s="9" t="inlineStr">
        <is>
          <t>All  Inclusive</t>
        </is>
      </c>
      <c r="W197" s="10" t="inlineStr">
        <is>
          <t>All  Inclusive</t>
        </is>
      </c>
      <c r="Y197" s="8" t="inlineStr">
        <is>
          <t>All  Inclusive</t>
        </is>
      </c>
    </row>
    <row r="198">
      <c r="A198" s="2" t="inlineStr">
        <is>
          <t>2A + 1a</t>
        </is>
      </c>
      <c r="B198" s="36" t="n">
        <v>2</v>
      </c>
      <c r="C198" s="36" t="n">
        <v>1</v>
      </c>
      <c r="D198" s="36" t="n"/>
      <c r="E198" s="38" t="n"/>
      <c r="F198" s="38" t="n"/>
      <c r="G198" s="38" t="n"/>
      <c r="H198" s="40" t="n"/>
      <c r="I198" s="40" t="n"/>
      <c r="J198" s="40" t="n"/>
      <c r="K198" s="10">
        <f t="array" ref="K198">SUM($B198:$J198*TRANSPOSE(K$185:K$193))</f>
        <v/>
      </c>
      <c r="M198" s="8">
        <f t="array" ref="M198">SUM($B198:$J198*TRANSPOSE(M$185:M$193))</f>
        <v/>
      </c>
      <c r="O198" s="9">
        <f t="array" ref="O198">SUM($B198:$J198*TRANSPOSE(O$185:O$193))</f>
        <v/>
      </c>
      <c r="Q198" s="10">
        <f t="array" ref="Q198">SUM($B198:$J198*TRANSPOSE(Q$185:Q$193))</f>
        <v/>
      </c>
      <c r="S198" s="8">
        <f t="array" ref="S198">SUM($B198:$J198*TRANSPOSE(S$185:S$193))</f>
        <v/>
      </c>
      <c r="U198" s="9">
        <f t="array" ref="U198">SUM($B198:$J198*TRANSPOSE(U$185:U$193))</f>
        <v/>
      </c>
      <c r="W198" s="10">
        <f t="array" ref="W198">SUM($B198:$J198*TRANSPOSE(W$185:W$193))</f>
        <v/>
      </c>
      <c r="Y198" s="8">
        <f t="array" ref="Y198">SUM($B198:$J198*TRANSPOSE(Y$185:Y$193))</f>
        <v/>
      </c>
    </row>
    <row r="199">
      <c r="A199" s="2" t="inlineStr">
        <is>
          <t>1A + 1C12 + 1c12</t>
        </is>
      </c>
      <c r="B199" s="36" t="n">
        <v>1</v>
      </c>
      <c r="C199" s="36" t="n"/>
      <c r="D199" s="36" t="n"/>
      <c r="E199" s="38" t="n">
        <v>1</v>
      </c>
      <c r="F199" s="38" t="n">
        <v>1</v>
      </c>
      <c r="G199" s="38" t="n"/>
      <c r="H199" s="40" t="n"/>
      <c r="I199" s="40" t="n"/>
      <c r="J199" s="40" t="n"/>
      <c r="K199" s="10">
        <f t="array" ref="K199">SUM($B199:$J199*TRANSPOSE(K$185:K$193))</f>
        <v/>
      </c>
      <c r="M199" s="8">
        <f t="array" ref="M199">SUM($B199:$J199*TRANSPOSE(M$185:M$193))</f>
        <v/>
      </c>
      <c r="O199" s="9">
        <f t="array" ref="O199">SUM($B199:$J199*TRANSPOSE(O$185:O$193))</f>
        <v/>
      </c>
      <c r="Q199" s="10">
        <f t="array" ref="Q199">SUM($B199:$J199*TRANSPOSE(Q$185:Q$193))</f>
        <v/>
      </c>
      <c r="S199" s="8">
        <f t="array" ref="S199">SUM($B199:$J199*TRANSPOSE(S$185:S$193))</f>
        <v/>
      </c>
      <c r="U199" s="9">
        <f t="array" ref="U199">SUM($B199:$J199*TRANSPOSE(U$185:U$193))</f>
        <v/>
      </c>
      <c r="W199" s="10">
        <f t="array" ref="W199">SUM($B199:$J199*TRANSPOSE(W$185:W$193))</f>
        <v/>
      </c>
      <c r="Y199" s="8">
        <f t="array" ref="Y199">SUM($B199:$J199*TRANSPOSE(Y$185:Y$193))</f>
        <v/>
      </c>
    </row>
    <row r="200">
      <c r="A200" s="2" t="inlineStr">
        <is>
          <t>2A + 1c12</t>
        </is>
      </c>
      <c r="B200" s="36" t="n">
        <v>2</v>
      </c>
      <c r="C200" s="36" t="n"/>
      <c r="D200" s="36" t="n"/>
      <c r="E200" s="38" t="n"/>
      <c r="F200" s="38" t="n">
        <v>1</v>
      </c>
      <c r="G200" s="38" t="n"/>
      <c r="H200" s="40" t="n"/>
      <c r="I200" s="40" t="n"/>
      <c r="J200" s="40" t="n"/>
      <c r="K200" s="10">
        <f t="array" ref="K200">SUM($B200:$J200*TRANSPOSE(K$185:K$193))</f>
        <v/>
      </c>
      <c r="M200" s="8">
        <f t="array" ref="M200">SUM($B200:$J200*TRANSPOSE(M$185:M$193))</f>
        <v/>
      </c>
      <c r="O200" s="9">
        <f t="array" ref="O200">SUM($B200:$J200*TRANSPOSE(O$185:O$193))</f>
        <v/>
      </c>
      <c r="Q200" s="10">
        <f t="array" ref="Q200">SUM($B200:$J200*TRANSPOSE(Q$185:Q$193))</f>
        <v/>
      </c>
      <c r="S200" s="8">
        <f t="array" ref="S200">SUM($B200:$J200*TRANSPOSE(S$185:S$193))</f>
        <v/>
      </c>
      <c r="U200" s="9">
        <f t="array" ref="U200">SUM($B200:$J200*TRANSPOSE(U$185:U$193))</f>
        <v/>
      </c>
      <c r="W200" s="10">
        <f t="array" ref="W200">SUM($B200:$J200*TRANSPOSE(W$185:W$193))</f>
        <v/>
      </c>
      <c r="Y200" s="8">
        <f t="array" ref="Y200">SUM($B200:$J200*TRANSPOSE(Y$185:Y$193))</f>
        <v/>
      </c>
    </row>
    <row r="201">
      <c r="A201" s="2" t="inlineStr">
        <is>
          <t>2A + 2a</t>
        </is>
      </c>
      <c r="B201" s="36" t="n">
        <v>2</v>
      </c>
      <c r="C201" s="36" t="n">
        <v>2</v>
      </c>
      <c r="D201" s="36" t="n"/>
      <c r="E201" s="38" t="n"/>
      <c r="F201" s="38" t="n"/>
      <c r="G201" s="38" t="n"/>
      <c r="H201" s="40" t="n"/>
      <c r="I201" s="40" t="n"/>
      <c r="J201" s="40" t="n"/>
      <c r="K201" s="10">
        <f t="array" ref="K201">SUM($B201:$J201*TRANSPOSE(K$185:K$193))</f>
        <v/>
      </c>
      <c r="M201" s="8">
        <f t="array" ref="M201">SUM($B201:$J201*TRANSPOSE(M$185:M$193))</f>
        <v/>
      </c>
      <c r="O201" s="9">
        <f t="array" ref="O201">SUM($B201:$J201*TRANSPOSE(O$185:O$193))</f>
        <v/>
      </c>
      <c r="Q201" s="10">
        <f t="array" ref="Q201">SUM($B201:$J201*TRANSPOSE(Q$185:Q$193))</f>
        <v/>
      </c>
      <c r="S201" s="8">
        <f t="array" ref="S201">SUM($B201:$J201*TRANSPOSE(S$185:S$193))</f>
        <v/>
      </c>
      <c r="U201" s="9">
        <f t="array" ref="U201">SUM($B201:$J201*TRANSPOSE(U$185:U$193))</f>
        <v/>
      </c>
      <c r="W201" s="10">
        <f t="array" ref="W201">SUM($B201:$J201*TRANSPOSE(W$185:W$193))</f>
        <v/>
      </c>
      <c r="Y201" s="8">
        <f t="array" ref="Y201">SUM($B201:$J201*TRANSPOSE(Y$185:Y$193))</f>
        <v/>
      </c>
    </row>
    <row r="202">
      <c r="A202" s="2" t="inlineStr">
        <is>
          <t>1A + 1C12 + 2c12</t>
        </is>
      </c>
      <c r="B202" s="36" t="n">
        <v>1</v>
      </c>
      <c r="C202" s="36" t="n"/>
      <c r="D202" s="36" t="n"/>
      <c r="E202" s="38" t="n">
        <v>1</v>
      </c>
      <c r="F202" s="38" t="n">
        <v>2</v>
      </c>
      <c r="G202" s="38" t="n"/>
      <c r="H202" s="40" t="n"/>
      <c r="I202" s="40" t="n"/>
      <c r="J202" s="40" t="n"/>
      <c r="K202" s="10">
        <f t="array" ref="K202">SUM($B202:$J202*TRANSPOSE(K$185:K$193))</f>
        <v/>
      </c>
      <c r="M202" s="8">
        <f t="array" ref="M202">SUM($B202:$J202*TRANSPOSE(M$185:M$193))</f>
        <v/>
      </c>
      <c r="O202" s="9">
        <f t="array" ref="O202">SUM($B202:$J202*TRANSPOSE(O$185:O$193))</f>
        <v/>
      </c>
      <c r="Q202" s="10">
        <f t="array" ref="Q202">SUM($B202:$J202*TRANSPOSE(Q$185:Q$193))</f>
        <v/>
      </c>
      <c r="S202" s="8">
        <f t="array" ref="S202">SUM($B202:$J202*TRANSPOSE(S$185:S$193))</f>
        <v/>
      </c>
      <c r="U202" s="9">
        <f t="array" ref="U202">SUM($B202:$J202*TRANSPOSE(U$185:U$193))</f>
        <v/>
      </c>
      <c r="W202" s="10">
        <f t="array" ref="W202">SUM($B202:$J202*TRANSPOSE(W$185:W$193))</f>
        <v/>
      </c>
      <c r="Y202" s="8">
        <f t="array" ref="Y202">SUM($B202:$J202*TRANSPOSE(Y$185:Y$193))</f>
        <v/>
      </c>
    </row>
    <row r="203">
      <c r="A203" s="2" t="inlineStr">
        <is>
          <t>2A + 2c12</t>
        </is>
      </c>
      <c r="B203" s="36" t="n">
        <v>2</v>
      </c>
      <c r="C203" s="36" t="n"/>
      <c r="D203" s="36" t="n"/>
      <c r="E203" s="38" t="n"/>
      <c r="F203" s="38" t="n">
        <v>2</v>
      </c>
      <c r="G203" s="38" t="n"/>
      <c r="H203" s="40" t="n"/>
      <c r="I203" s="40" t="n"/>
      <c r="J203" s="40" t="n"/>
      <c r="K203" s="10">
        <f t="array" ref="K203">SUM($B203:$J203*TRANSPOSE(K$185:K$193))</f>
        <v/>
      </c>
      <c r="M203" s="8">
        <f t="array" ref="M203">SUM($B203:$J203*TRANSPOSE(M$185:M$193))</f>
        <v/>
      </c>
      <c r="O203" s="9">
        <f t="array" ref="O203">SUM($B203:$J203*TRANSPOSE(O$185:O$193))</f>
        <v/>
      </c>
      <c r="Q203" s="10">
        <f t="array" ref="Q203">SUM($B203:$J203*TRANSPOSE(Q$185:Q$193))</f>
        <v/>
      </c>
      <c r="S203" s="8">
        <f t="array" ref="S203">SUM($B203:$J203*TRANSPOSE(S$185:S$193))</f>
        <v/>
      </c>
      <c r="U203" s="9">
        <f t="array" ref="U203">SUM($B203:$J203*TRANSPOSE(U$185:U$193))</f>
        <v/>
      </c>
      <c r="W203" s="10">
        <f t="array" ref="W203">SUM($B203:$J203*TRANSPOSE(W$185:W$193))</f>
        <v/>
      </c>
      <c r="Y203" s="8">
        <f t="array" ref="Y203">SUM($B203:$J203*TRANSPOSE(Y$185:Y$193))</f>
        <v/>
      </c>
    </row>
    <row r="204">
      <c r="A204" s="2" t="inlineStr">
        <is>
          <t>2A + 1a + 1c12</t>
        </is>
      </c>
      <c r="B204" s="36" t="n">
        <v>2</v>
      </c>
      <c r="C204" s="36" t="n">
        <v>1</v>
      </c>
      <c r="D204" s="36" t="n"/>
      <c r="E204" s="38" t="n"/>
      <c r="F204" s="38" t="n">
        <v>1</v>
      </c>
      <c r="G204" s="38" t="n"/>
      <c r="H204" s="40" t="n"/>
      <c r="I204" s="40" t="n"/>
      <c r="J204" s="40" t="n"/>
      <c r="K204" s="10">
        <f t="array" ref="K204">SUM($B204:$J204*TRANSPOSE(K$185:K$193))</f>
        <v/>
      </c>
      <c r="M204" s="8">
        <f t="array" ref="M204">SUM($B204:$J204*TRANSPOSE(M$185:M$193))</f>
        <v/>
      </c>
      <c r="O204" s="9">
        <f t="array" ref="O204">SUM($B204:$J204*TRANSPOSE(O$185:O$193))</f>
        <v/>
      </c>
      <c r="Q204" s="10">
        <f t="array" ref="Q204">SUM($B204:$J204*TRANSPOSE(Q$185:Q$193))</f>
        <v/>
      </c>
      <c r="S204" s="8">
        <f t="array" ref="S204">SUM($B204:$J204*TRANSPOSE(S$185:S$193))</f>
        <v/>
      </c>
      <c r="U204" s="9">
        <f t="array" ref="U204">SUM($B204:$J204*TRANSPOSE(U$185:U$193))</f>
        <v/>
      </c>
      <c r="W204" s="10">
        <f t="array" ref="W204">SUM($B204:$J204*TRANSPOSE(W$185:W$193))</f>
        <v/>
      </c>
      <c r="Y204" s="8">
        <f t="array" ref="Y204">SUM($B204:$J204*TRANSPOSE(Y$185:Y$193))</f>
        <v/>
      </c>
    </row>
    <row r="205">
      <c r="A205" s="2" t="inlineStr">
        <is>
          <t>2A + 1a + 1c1/</t>
        </is>
      </c>
      <c r="B205" s="36" t="n">
        <v>2</v>
      </c>
      <c r="C205" s="36" t="n">
        <v>1</v>
      </c>
      <c r="D205" s="36" t="n"/>
      <c r="E205" s="38" t="n"/>
      <c r="F205" s="38" t="n"/>
      <c r="G205" s="38" t="n"/>
      <c r="H205" s="40" t="n"/>
      <c r="I205" s="40" t="n"/>
      <c r="J205" s="40" t="n">
        <v>1</v>
      </c>
      <c r="K205" s="10">
        <f t="array" ref="K205">SUM($B205:$J205*TRANSPOSE(K$185:K$193))</f>
        <v/>
      </c>
      <c r="M205" s="8">
        <f t="array" ref="M205">SUM($B205:$J205*TRANSPOSE(M$185:M$193))</f>
        <v/>
      </c>
      <c r="O205" s="9">
        <f t="array" ref="O205">SUM($B205:$J205*TRANSPOSE(O$185:O$193))</f>
        <v/>
      </c>
      <c r="Q205" s="10">
        <f t="array" ref="Q205">SUM($B205:$J205*TRANSPOSE(Q$185:Q$193))</f>
        <v/>
      </c>
      <c r="S205" s="8">
        <f t="array" ref="S205">SUM($B205:$J205*TRANSPOSE(S$185:S$193))</f>
        <v/>
      </c>
      <c r="U205" s="9">
        <f t="array" ref="U205">SUM($B205:$J205*TRANSPOSE(U$185:U$193))</f>
        <v/>
      </c>
      <c r="W205" s="10">
        <f t="array" ref="W205">SUM($B205:$J205*TRANSPOSE(W$185:W$193))</f>
        <v/>
      </c>
      <c r="Y205" s="8">
        <f t="array" ref="Y205">SUM($B205:$J205*TRANSPOSE(Y$185:Y$193))</f>
        <v/>
      </c>
    </row>
    <row r="206">
      <c r="A206" s="2" t="inlineStr">
        <is>
          <t>1A + 1C12 + 1c12 + 1c1/</t>
        </is>
      </c>
      <c r="B206" s="36" t="n">
        <v>1</v>
      </c>
      <c r="C206" s="36" t="n"/>
      <c r="D206" s="36" t="n"/>
      <c r="E206" s="38" t="n">
        <v>1</v>
      </c>
      <c r="F206" s="38" t="n">
        <v>1</v>
      </c>
      <c r="G206" s="38" t="n"/>
      <c r="H206" s="40" t="n"/>
      <c r="I206" s="40" t="n"/>
      <c r="J206" s="40" t="n">
        <v>1</v>
      </c>
      <c r="K206" s="10">
        <f t="array" ref="K206">SUM($B206:$J206*TRANSPOSE(K$185:K$193))</f>
        <v/>
      </c>
      <c r="M206" s="8">
        <f t="array" ref="M206">SUM($B206:$J206*TRANSPOSE(M$185:M$193))</f>
        <v/>
      </c>
      <c r="O206" s="9">
        <f t="array" ref="O206">SUM($B206:$J206*TRANSPOSE(O$185:O$193))</f>
        <v/>
      </c>
      <c r="Q206" s="10">
        <f t="array" ref="Q206">SUM($B206:$J206*TRANSPOSE(Q$185:Q$193))</f>
        <v/>
      </c>
      <c r="S206" s="8">
        <f t="array" ref="S206">SUM($B206:$J206*TRANSPOSE(S$185:S$193))</f>
        <v/>
      </c>
      <c r="U206" s="9">
        <f t="array" ref="U206">SUM($B206:$J206*TRANSPOSE(U$185:U$193))</f>
        <v/>
      </c>
      <c r="W206" s="10">
        <f t="array" ref="W206">SUM($B206:$J206*TRANSPOSE(W$185:W$193))</f>
        <v/>
      </c>
      <c r="Y206" s="8">
        <f t="array" ref="Y206">SUM($B206:$J206*TRANSPOSE(Y$185:Y$193))</f>
        <v/>
      </c>
    </row>
    <row r="207">
      <c r="A207" s="2" t="inlineStr">
        <is>
          <t>2A + 1c12 + 1c1/</t>
        </is>
      </c>
      <c r="B207" s="36" t="n">
        <v>2</v>
      </c>
      <c r="C207" s="36" t="n"/>
      <c r="D207" s="36" t="n"/>
      <c r="E207" s="38" t="n"/>
      <c r="F207" s="38" t="n">
        <v>1</v>
      </c>
      <c r="G207" s="38" t="n"/>
      <c r="H207" s="40" t="n"/>
      <c r="I207" s="40" t="n"/>
      <c r="J207" s="40" t="n">
        <v>1</v>
      </c>
      <c r="K207" s="10">
        <f t="array" ref="K207">SUM($B207:$J207*TRANSPOSE(K$185:K$193))</f>
        <v/>
      </c>
      <c r="M207" s="8">
        <f t="array" ref="M207">SUM($B207:$J207*TRANSPOSE(M$185:M$193))</f>
        <v/>
      </c>
      <c r="O207" s="9">
        <f t="array" ref="O207">SUM($B207:$J207*TRANSPOSE(O$185:O$193))</f>
        <v/>
      </c>
      <c r="Q207" s="10">
        <f t="array" ref="Q207">SUM($B207:$J207*TRANSPOSE(Q$185:Q$193))</f>
        <v/>
      </c>
      <c r="S207" s="8">
        <f t="array" ref="S207">SUM($B207:$J207*TRANSPOSE(S$185:S$193))</f>
        <v/>
      </c>
      <c r="U207" s="9">
        <f t="array" ref="U207">SUM($B207:$J207*TRANSPOSE(U$185:U$193))</f>
        <v/>
      </c>
      <c r="W207" s="10">
        <f t="array" ref="W207">SUM($B207:$J207*TRANSPOSE(W$185:W$193))</f>
        <v/>
      </c>
      <c r="Y207" s="8">
        <f t="array" ref="Y207">SUM($B207:$J207*TRANSPOSE(Y$185:Y$193))</f>
        <v/>
      </c>
    </row>
    <row r="208">
      <c r="A208" s="2" t="inlineStr">
        <is>
          <t>1A + 1C12 + 3c12</t>
        </is>
      </c>
      <c r="B208" s="36" t="n">
        <v>1</v>
      </c>
      <c r="C208" s="36" t="n"/>
      <c r="D208" s="36" t="n"/>
      <c r="E208" s="38" t="n">
        <v>1</v>
      </c>
      <c r="F208" s="38" t="n">
        <v>3</v>
      </c>
      <c r="G208" s="38" t="n"/>
      <c r="H208" s="40" t="n"/>
      <c r="I208" s="40" t="n"/>
      <c r="J208" s="40" t="n"/>
      <c r="K208" s="10">
        <f t="array" ref="K208">SUM($B208:$J208*TRANSPOSE(K$185:K$193))</f>
        <v/>
      </c>
      <c r="M208" s="8">
        <f t="array" ref="M208">SUM($B208:$J208*TRANSPOSE(M$185:M$193))</f>
        <v/>
      </c>
      <c r="O208" s="9">
        <f t="array" ref="O208">SUM($B208:$J208*TRANSPOSE(O$185:O$193))</f>
        <v/>
      </c>
      <c r="Q208" s="10">
        <f t="array" ref="Q208">SUM($B208:$J208*TRANSPOSE(Q$185:Q$193))</f>
        <v/>
      </c>
      <c r="S208" s="8">
        <f t="array" ref="S208">SUM($B208:$J208*TRANSPOSE(S$185:S$193))</f>
        <v/>
      </c>
      <c r="U208" s="9">
        <f t="array" ref="U208">SUM($B208:$J208*TRANSPOSE(U$185:U$193))</f>
        <v/>
      </c>
      <c r="W208" s="10">
        <f t="array" ref="W208">SUM($B208:$J208*TRANSPOSE(W$185:W$193))</f>
        <v/>
      </c>
      <c r="Y208" s="8">
        <f t="array" ref="Y208">SUM($B208:$J208*TRANSPOSE(Y$185:Y$193))</f>
        <v/>
      </c>
    </row>
    <row r="209">
      <c r="A209" s="2" t="inlineStr">
        <is>
          <t>2A + 3c12</t>
        </is>
      </c>
      <c r="B209" s="36" t="n">
        <v>2</v>
      </c>
      <c r="C209" s="36" t="n"/>
      <c r="D209" s="36" t="n"/>
      <c r="E209" s="38" t="n"/>
      <c r="F209" s="38" t="n">
        <v>3</v>
      </c>
      <c r="G209" s="38" t="n"/>
      <c r="H209" s="40" t="n"/>
      <c r="I209" s="40" t="n"/>
      <c r="J209" s="40" t="n"/>
      <c r="K209" s="10">
        <f t="array" ref="K209">SUM($B209:$J209*TRANSPOSE(K$185:K$193))</f>
        <v/>
      </c>
      <c r="M209" s="8">
        <f t="array" ref="M209">SUM($B209:$J209*TRANSPOSE(M$185:M$193))</f>
        <v/>
      </c>
      <c r="O209" s="9">
        <f t="array" ref="O209">SUM($B209:$J209*TRANSPOSE(O$185:O$193))</f>
        <v/>
      </c>
      <c r="Q209" s="10">
        <f t="array" ref="Q209">SUM($B209:$J209*TRANSPOSE(Q$185:Q$193))</f>
        <v/>
      </c>
      <c r="S209" s="8">
        <f t="array" ref="S209">SUM($B209:$J209*TRANSPOSE(S$185:S$193))</f>
        <v/>
      </c>
      <c r="U209" s="9">
        <f t="array" ref="U209">SUM($B209:$J209*TRANSPOSE(U$185:U$193))</f>
        <v/>
      </c>
      <c r="W209" s="10">
        <f t="array" ref="W209">SUM($B209:$J209*TRANSPOSE(W$185:W$193))</f>
        <v/>
      </c>
      <c r="Y209" s="8">
        <f t="array" ref="Y209">SUM($B209:$J209*TRANSPOSE(Y$185:Y$193))</f>
        <v/>
      </c>
    </row>
    <row r="210">
      <c r="A210" s="2" t="inlineStr">
        <is>
          <t>2A + 1a + 2c12</t>
        </is>
      </c>
      <c r="B210" s="36" t="n">
        <v>2</v>
      </c>
      <c r="C210" s="36" t="n">
        <v>1</v>
      </c>
      <c r="D210" s="36" t="n"/>
      <c r="E210" s="38" t="n"/>
      <c r="F210" s="38" t="n">
        <v>2</v>
      </c>
      <c r="G210" s="38" t="n"/>
      <c r="H210" s="40" t="n"/>
      <c r="I210" s="40" t="n"/>
      <c r="J210" s="40" t="n"/>
      <c r="K210" s="10">
        <f t="array" ref="K210">SUM($B210:$J210*TRANSPOSE(K$185:K$193))</f>
        <v/>
      </c>
      <c r="M210" s="8">
        <f t="array" ref="M210">SUM($B210:$J210*TRANSPOSE(M$185:M$193))</f>
        <v/>
      </c>
      <c r="O210" s="9">
        <f t="array" ref="O210">SUM($B210:$J210*TRANSPOSE(O$185:O$193))</f>
        <v/>
      </c>
      <c r="Q210" s="10">
        <f t="array" ref="Q210">SUM($B210:$J210*TRANSPOSE(Q$185:Q$193))</f>
        <v/>
      </c>
      <c r="S210" s="8">
        <f t="array" ref="S210">SUM($B210:$J210*TRANSPOSE(S$185:S$193))</f>
        <v/>
      </c>
      <c r="U210" s="9">
        <f t="array" ref="U210">SUM($B210:$J210*TRANSPOSE(U$185:U$193))</f>
        <v/>
      </c>
      <c r="W210" s="10">
        <f t="array" ref="W210">SUM($B210:$J210*TRANSPOSE(W$185:W$193))</f>
        <v/>
      </c>
      <c r="Y210" s="8">
        <f t="array" ref="Y210">SUM($B210:$J210*TRANSPOSE(Y$185:Y$193))</f>
        <v/>
      </c>
    </row>
    <row r="211">
      <c r="A211" s="2" t="inlineStr">
        <is>
          <t>2A + 2a + 1c12</t>
        </is>
      </c>
      <c r="B211" s="36" t="n">
        <v>2</v>
      </c>
      <c r="C211" s="36" t="n">
        <v>2</v>
      </c>
      <c r="D211" s="36" t="n"/>
      <c r="E211" s="38" t="n"/>
      <c r="F211" s="38" t="n">
        <v>1</v>
      </c>
      <c r="G211" s="38" t="n"/>
      <c r="H211" s="40" t="n"/>
      <c r="I211" s="40" t="n"/>
      <c r="J211" s="40" t="n"/>
      <c r="K211" s="10">
        <f t="array" ref="K211">SUM($B211:$J211*TRANSPOSE(K$185:K$193))</f>
        <v/>
      </c>
      <c r="M211" s="8">
        <f t="array" ref="M211">SUM($B211:$J211*TRANSPOSE(M$185:M$193))</f>
        <v/>
      </c>
      <c r="O211" s="9">
        <f t="array" ref="O211">SUM($B211:$J211*TRANSPOSE(O$185:O$193))</f>
        <v/>
      </c>
      <c r="Q211" s="10">
        <f t="array" ref="Q211">SUM($B211:$J211*TRANSPOSE(Q$185:Q$193))</f>
        <v/>
      </c>
      <c r="S211" s="8">
        <f t="array" ref="S211">SUM($B211:$J211*TRANSPOSE(S$185:S$193))</f>
        <v/>
      </c>
      <c r="U211" s="9">
        <f t="array" ref="U211">SUM($B211:$J211*TRANSPOSE(U$185:U$193))</f>
        <v/>
      </c>
      <c r="W211" s="10">
        <f t="array" ref="W211">SUM($B211:$J211*TRANSPOSE(W$185:W$193))</f>
        <v/>
      </c>
      <c r="Y211" s="8">
        <f t="array" ref="Y211">SUM($B211:$J211*TRANSPOSE(Y$185:Y$193))</f>
        <v/>
      </c>
    </row>
    <row r="212">
      <c r="A212" s="2" t="inlineStr">
        <is>
          <t>2A + 2a + 1c1/</t>
        </is>
      </c>
      <c r="B212" s="36" t="n">
        <v>2</v>
      </c>
      <c r="C212" s="36" t="n">
        <v>2</v>
      </c>
      <c r="D212" s="36" t="n"/>
      <c r="E212" s="38" t="n"/>
      <c r="F212" s="38" t="n"/>
      <c r="G212" s="38" t="n"/>
      <c r="H212" s="40" t="n"/>
      <c r="I212" s="40" t="n"/>
      <c r="J212" s="40" t="n">
        <v>1</v>
      </c>
      <c r="K212" s="10">
        <f t="array" ref="K212">SUM($B212:$J212*TRANSPOSE(K$185:K$193))</f>
        <v/>
      </c>
      <c r="M212" s="8">
        <f t="array" ref="M212">SUM($B212:$J212*TRANSPOSE(M$185:M$193))</f>
        <v/>
      </c>
      <c r="O212" s="9">
        <f t="array" ref="O212">SUM($B212:$J212*TRANSPOSE(O$185:O$193))</f>
        <v/>
      </c>
      <c r="Q212" s="10">
        <f t="array" ref="Q212">SUM($B212:$J212*TRANSPOSE(Q$185:Q$193))</f>
        <v/>
      </c>
      <c r="S212" s="8">
        <f t="array" ref="S212">SUM($B212:$J212*TRANSPOSE(S$185:S$193))</f>
        <v/>
      </c>
      <c r="U212" s="9">
        <f t="array" ref="U212">SUM($B212:$J212*TRANSPOSE(U$185:U$193))</f>
        <v/>
      </c>
      <c r="W212" s="10">
        <f t="array" ref="W212">SUM($B212:$J212*TRANSPOSE(W$185:W$193))</f>
        <v/>
      </c>
      <c r="Y212" s="8">
        <f t="array" ref="Y212">SUM($B212:$J212*TRANSPOSE(Y$185:Y$193))</f>
        <v/>
      </c>
    </row>
    <row r="213">
      <c r="A213" s="2" t="inlineStr">
        <is>
          <t>1A + 1C12 + 2c12 + 1c1/</t>
        </is>
      </c>
      <c r="B213" s="36" t="n">
        <v>1</v>
      </c>
      <c r="C213" s="36" t="n"/>
      <c r="D213" s="36" t="n"/>
      <c r="E213" s="38" t="n">
        <v>1</v>
      </c>
      <c r="F213" s="38" t="n">
        <v>2</v>
      </c>
      <c r="G213" s="38" t="n"/>
      <c r="H213" s="40" t="n"/>
      <c r="I213" s="40" t="n"/>
      <c r="J213" s="40" t="n">
        <v>1</v>
      </c>
      <c r="K213" s="10">
        <f t="array" ref="K213">SUM($B213:$J213*TRANSPOSE(K$185:K$193))</f>
        <v/>
      </c>
      <c r="M213" s="8">
        <f t="array" ref="M213">SUM($B213:$J213*TRANSPOSE(M$185:M$193))</f>
        <v/>
      </c>
      <c r="O213" s="9">
        <f t="array" ref="O213">SUM($B213:$J213*TRANSPOSE(O$185:O$193))</f>
        <v/>
      </c>
      <c r="Q213" s="10">
        <f t="array" ref="Q213">SUM($B213:$J213*TRANSPOSE(Q$185:Q$193))</f>
        <v/>
      </c>
      <c r="S213" s="8">
        <f t="array" ref="S213">SUM($B213:$J213*TRANSPOSE(S$185:S$193))</f>
        <v/>
      </c>
      <c r="U213" s="9">
        <f t="array" ref="U213">SUM($B213:$J213*TRANSPOSE(U$185:U$193))</f>
        <v/>
      </c>
      <c r="W213" s="10">
        <f t="array" ref="W213">SUM($B213:$J213*TRANSPOSE(W$185:W$193))</f>
        <v/>
      </c>
      <c r="Y213" s="8">
        <f t="array" ref="Y213">SUM($B213:$J213*TRANSPOSE(Y$185:Y$193))</f>
        <v/>
      </c>
    </row>
    <row r="214">
      <c r="A214" s="2" t="inlineStr">
        <is>
          <t>2A + 2c12 + 1c1/</t>
        </is>
      </c>
      <c r="B214" s="36" t="n">
        <v>2</v>
      </c>
      <c r="C214" s="36" t="n"/>
      <c r="D214" s="36" t="n"/>
      <c r="E214" s="38" t="n"/>
      <c r="F214" s="38" t="n">
        <v>2</v>
      </c>
      <c r="G214" s="38" t="n"/>
      <c r="H214" s="40" t="n"/>
      <c r="I214" s="40" t="n"/>
      <c r="J214" s="40" t="n">
        <v>1</v>
      </c>
      <c r="K214" s="10">
        <f t="array" ref="K214">SUM($B214:$J214*TRANSPOSE(K$185:K$193))</f>
        <v/>
      </c>
      <c r="M214" s="8">
        <f t="array" ref="M214">SUM($B214:$J214*TRANSPOSE(M$185:M$193))</f>
        <v/>
      </c>
      <c r="O214" s="9">
        <f t="array" ref="O214">SUM($B214:$J214*TRANSPOSE(O$185:O$193))</f>
        <v/>
      </c>
      <c r="Q214" s="10">
        <f t="array" ref="Q214">SUM($B214:$J214*TRANSPOSE(Q$185:Q$193))</f>
        <v/>
      </c>
      <c r="S214" s="8">
        <f t="array" ref="S214">SUM($B214:$J214*TRANSPOSE(S$185:S$193))</f>
        <v/>
      </c>
      <c r="U214" s="9">
        <f t="array" ref="U214">SUM($B214:$J214*TRANSPOSE(U$185:U$193))</f>
        <v/>
      </c>
      <c r="W214" s="10">
        <f t="array" ref="W214">SUM($B214:$J214*TRANSPOSE(W$185:W$193))</f>
        <v/>
      </c>
      <c r="Y214" s="8">
        <f t="array" ref="Y214">SUM($B214:$J214*TRANSPOSE(Y$185:Y$193))</f>
        <v/>
      </c>
    </row>
    <row r="215">
      <c r="A215" s="2" t="inlineStr">
        <is>
          <t>2A + 1a + 1c12 + 1c1/</t>
        </is>
      </c>
      <c r="B215" s="36" t="n">
        <v>2</v>
      </c>
      <c r="C215" s="36" t="n">
        <v>1</v>
      </c>
      <c r="D215" s="36" t="n"/>
      <c r="E215" s="38" t="n"/>
      <c r="F215" s="38" t="n">
        <v>1</v>
      </c>
      <c r="G215" s="38" t="n"/>
      <c r="H215" s="40" t="n"/>
      <c r="I215" s="40" t="n"/>
      <c r="J215" s="40" t="n">
        <v>1</v>
      </c>
      <c r="K215" s="10">
        <f t="array" ref="K215">SUM($B215:$J215*TRANSPOSE(K$185:K$193))</f>
        <v/>
      </c>
      <c r="M215" s="8">
        <f t="array" ref="M215">SUM($B215:$J215*TRANSPOSE(M$185:M$193))</f>
        <v/>
      </c>
      <c r="O215" s="9">
        <f t="array" ref="O215">SUM($B215:$J215*TRANSPOSE(O$185:O$193))</f>
        <v/>
      </c>
      <c r="Q215" s="10">
        <f t="array" ref="Q215">SUM($B215:$J215*TRANSPOSE(Q$185:Q$193))</f>
        <v/>
      </c>
      <c r="S215" s="8">
        <f t="array" ref="S215">SUM($B215:$J215*TRANSPOSE(S$185:S$193))</f>
        <v/>
      </c>
      <c r="U215" s="9">
        <f t="array" ref="U215">SUM($B215:$J215*TRANSPOSE(U$185:U$193))</f>
        <v/>
      </c>
      <c r="W215" s="10">
        <f t="array" ref="W215">SUM($B215:$J215*TRANSPOSE(W$185:W$193))</f>
        <v/>
      </c>
      <c r="Y215" s="8">
        <f t="array" ref="Y215">SUM($B215:$J215*TRANSPOSE(Y$185:Y$193))</f>
        <v/>
      </c>
    </row>
    <row r="216"/>
    <row r="217"/>
    <row r="218" ht="21" customHeight="1">
      <c r="A218" s="3" t="inlineStr">
        <is>
          <t>Room</t>
        </is>
      </c>
      <c r="B218" s="4" t="inlineStr">
        <is>
          <t>Two Bedroom Family Room (F2SB)</t>
        </is>
      </c>
      <c r="C218" s="4" t="inlineStr">
        <is>
          <t>Family</t>
        </is>
      </c>
      <c r="K218" t="inlineStr">
        <is>
          <t>159,00 275,00 214,00 226,00 163,00 155,00 178,00 155,00</t>
        </is>
      </c>
    </row>
    <row r="219"/>
    <row r="220">
      <c r="I220" s="1" t="inlineStr">
        <is>
          <t>Bed prices</t>
        </is>
      </c>
      <c r="K220" s="10" t="inlineStr">
        <is>
          <t>All  Inclusive</t>
        </is>
      </c>
      <c r="M220" s="8" t="inlineStr">
        <is>
          <t>All  Inclusive</t>
        </is>
      </c>
      <c r="O220" s="9" t="inlineStr">
        <is>
          <t>All  Inclusive</t>
        </is>
      </c>
      <c r="Q220" s="10" t="inlineStr">
        <is>
          <t>All  Inclusive</t>
        </is>
      </c>
      <c r="S220" s="8" t="inlineStr">
        <is>
          <t>All  Inclusive</t>
        </is>
      </c>
      <c r="U220" s="9" t="inlineStr">
        <is>
          <t>All  Inclusive</t>
        </is>
      </c>
      <c r="W220" s="10" t="inlineStr">
        <is>
          <t>All  Inclusive</t>
        </is>
      </c>
      <c r="Y220" s="8" t="inlineStr">
        <is>
          <t>All  Inclusive</t>
        </is>
      </c>
    </row>
    <row r="221">
      <c r="I221" s="5" t="inlineStr">
        <is>
          <t>Adult</t>
        </is>
      </c>
      <c r="J221" s="5" t="inlineStr">
        <is>
          <t>MB</t>
        </is>
      </c>
      <c r="K221" s="16" t="n"/>
      <c r="L221" s="13" t="n"/>
      <c r="M221" s="18" t="n"/>
      <c r="N221" s="13" t="n"/>
      <c r="O221" s="12" t="n"/>
      <c r="P221" s="13" t="n"/>
      <c r="Q221" s="16" t="n"/>
      <c r="R221" s="13" t="n"/>
      <c r="S221" s="18" t="n"/>
      <c r="T221" s="13" t="n"/>
      <c r="U221" s="12" t="n"/>
      <c r="V221" s="13" t="n"/>
      <c r="W221" s="16" t="n"/>
      <c r="X221" s="13" t="n"/>
      <c r="Y221" s="18" t="n"/>
    </row>
    <row r="222">
      <c r="I222" s="5" t="n"/>
      <c r="J222" s="5" t="inlineStr">
        <is>
          <t>ExB</t>
        </is>
      </c>
      <c r="K222" s="15">
        <f>K221*0.85</f>
        <v/>
      </c>
      <c r="L222" s="14" t="n"/>
      <c r="M222" s="15">
        <f>M221*0.85</f>
        <v/>
      </c>
      <c r="N222" s="15">
        <f>N221*0.85</f>
        <v/>
      </c>
      <c r="O222" s="15">
        <f>O221*0.85</f>
        <v/>
      </c>
      <c r="P222" s="15">
        <f>P221*0.85</f>
        <v/>
      </c>
      <c r="Q222" s="15">
        <f>Q221*0.85</f>
        <v/>
      </c>
      <c r="R222" s="15">
        <f>R221*0.85</f>
        <v/>
      </c>
      <c r="S222" s="15">
        <f>S221*0.85</f>
        <v/>
      </c>
      <c r="T222" s="15">
        <f>T221*0.85</f>
        <v/>
      </c>
      <c r="U222" s="15">
        <f>U221*0.85</f>
        <v/>
      </c>
      <c r="V222" s="15">
        <f>V221*0.85</f>
        <v/>
      </c>
      <c r="W222" s="15">
        <f>W221*0.85</f>
        <v/>
      </c>
      <c r="X222" s="15">
        <f>X221*0.85</f>
        <v/>
      </c>
      <c r="Y222" s="15">
        <f>Y221*0.85</f>
        <v/>
      </c>
    </row>
    <row r="223">
      <c r="I223" s="5" t="n"/>
      <c r="J223" s="5" t="inlineStr">
        <is>
          <t>W/oB</t>
        </is>
      </c>
      <c r="K223" s="15" t="n"/>
      <c r="L223" s="14" t="n"/>
      <c r="M223" s="17" t="n"/>
      <c r="N223" s="14" t="n"/>
      <c r="O223" s="11" t="n"/>
      <c r="P223" s="14" t="n"/>
      <c r="Q223" s="15" t="n"/>
      <c r="R223" s="14" t="n"/>
      <c r="S223" s="17" t="n"/>
      <c r="T223" s="14" t="n"/>
      <c r="U223" s="11" t="n"/>
      <c r="V223" s="14" t="n"/>
      <c r="W223" s="15" t="n"/>
      <c r="X223" s="14" t="n"/>
      <c r="Y223" s="17" t="n"/>
    </row>
    <row r="224" customFormat="1" s="41">
      <c r="I224" s="42" t="inlineStr">
        <is>
          <t>Child 2-12</t>
        </is>
      </c>
      <c r="J224" s="42" t="inlineStr">
        <is>
          <t>MB</t>
        </is>
      </c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</row>
    <row r="225">
      <c r="I225" s="6" t="n"/>
      <c r="J225" s="6" t="inlineStr">
        <is>
          <t>ExB</t>
        </is>
      </c>
      <c r="K225" s="15">
        <f>K221*0.5</f>
        <v/>
      </c>
      <c r="L225" s="14" t="n"/>
      <c r="M225" s="15">
        <f>M221*0.5</f>
        <v/>
      </c>
      <c r="N225" s="15">
        <f>N221*0.5</f>
        <v/>
      </c>
      <c r="O225" s="15">
        <f>O221*0.5</f>
        <v/>
      </c>
      <c r="P225" s="15">
        <f>P221*0.5</f>
        <v/>
      </c>
      <c r="Q225" s="15">
        <f>Q221*0.5</f>
        <v/>
      </c>
      <c r="R225" s="15">
        <f>R221*0.5</f>
        <v/>
      </c>
      <c r="S225" s="15">
        <f>S221*0.5</f>
        <v/>
      </c>
      <c r="T225" s="15">
        <f>T221*0.5</f>
        <v/>
      </c>
      <c r="U225" s="15">
        <f>U221*0.5</f>
        <v/>
      </c>
      <c r="V225" s="15">
        <f>V221*0.5</f>
        <v/>
      </c>
      <c r="W225" s="15">
        <f>W221*0.5</f>
        <v/>
      </c>
      <c r="X225" s="15">
        <f>X221*0.5</f>
        <v/>
      </c>
      <c r="Y225" s="15">
        <f>Y221*0.5</f>
        <v/>
      </c>
    </row>
    <row r="226">
      <c r="I226" s="6" t="n"/>
      <c r="J226" s="6" t="inlineStr">
        <is>
          <t>W/oB</t>
        </is>
      </c>
      <c r="K226" s="15" t="n"/>
      <c r="L226" s="14" t="n"/>
      <c r="M226" s="17" t="n"/>
      <c r="N226" s="14" t="n"/>
      <c r="O226" s="11" t="n"/>
      <c r="P226" s="14" t="n"/>
      <c r="Q226" s="15" t="n"/>
      <c r="R226" s="14" t="n"/>
      <c r="S226" s="17" t="n"/>
      <c r="T226" s="14" t="n"/>
      <c r="U226" s="11" t="n"/>
      <c r="V226" s="14" t="n"/>
      <c r="W226" s="15" t="n"/>
      <c r="X226" s="14" t="n"/>
      <c r="Y226" s="17" t="n"/>
    </row>
    <row r="227">
      <c r="I227" s="7" t="inlineStr">
        <is>
          <t>Infant 0-1</t>
        </is>
      </c>
      <c r="J227" s="7" t="inlineStr">
        <is>
          <t>MB</t>
        </is>
      </c>
      <c r="K227" s="15" t="n"/>
      <c r="L227" s="14" t="n"/>
      <c r="M227" s="17" t="n"/>
      <c r="N227" s="14" t="n"/>
      <c r="O227" s="11" t="n"/>
      <c r="P227" s="14" t="n"/>
      <c r="Q227" s="15" t="n"/>
      <c r="R227" s="14" t="n"/>
      <c r="S227" s="17" t="n"/>
      <c r="T227" s="14" t="n"/>
      <c r="U227" s="11" t="n"/>
      <c r="V227" s="14" t="n"/>
      <c r="W227" s="15" t="n"/>
      <c r="X227" s="14" t="n"/>
      <c r="Y227" s="17" t="n"/>
    </row>
    <row r="228">
      <c r="I228" s="7" t="n"/>
      <c r="J228" s="7" t="inlineStr">
        <is>
          <t>ExB</t>
        </is>
      </c>
      <c r="K228" s="15" t="n"/>
      <c r="L228" s="14" t="n"/>
      <c r="M228" s="17" t="n"/>
      <c r="N228" s="14" t="n"/>
      <c r="O228" s="11" t="n"/>
      <c r="P228" s="14" t="n"/>
      <c r="Q228" s="15" t="n"/>
      <c r="R228" s="14" t="n"/>
      <c r="S228" s="17" t="n"/>
      <c r="T228" s="14" t="n"/>
      <c r="U228" s="11" t="n"/>
      <c r="V228" s="14" t="n"/>
      <c r="W228" s="15" t="n"/>
      <c r="X228" s="14" t="n"/>
      <c r="Y228" s="17" t="n"/>
    </row>
    <row r="229">
      <c r="I229" s="7" t="n"/>
      <c r="J229" s="7" t="inlineStr">
        <is>
          <t>W/oB</t>
        </is>
      </c>
      <c r="K229" s="15" t="n"/>
      <c r="L229" s="14" t="n"/>
      <c r="M229" s="17" t="n"/>
      <c r="N229" s="14" t="n"/>
      <c r="O229" s="11" t="n"/>
      <c r="P229" s="14" t="n"/>
      <c r="Q229" s="15" t="n"/>
      <c r="R229" s="14" t="n"/>
      <c r="S229" s="17" t="n"/>
      <c r="T229" s="14" t="n"/>
      <c r="U229" s="11" t="n"/>
      <c r="V229" s="14" t="n"/>
      <c r="W229" s="15" t="n"/>
      <c r="X229" s="14" t="n"/>
      <c r="Y229" s="17" t="n"/>
    </row>
    <row r="230">
      <c r="K230" s="10" t="n"/>
      <c r="M230" s="8" t="n"/>
      <c r="O230" s="9" t="n"/>
      <c r="Q230" s="10" t="n"/>
      <c r="S230" s="8" t="n"/>
      <c r="U230" s="9" t="n"/>
      <c r="W230" s="10" t="n"/>
      <c r="Y230" s="8" t="n"/>
    </row>
    <row r="231" ht="18" customHeight="1">
      <c r="A231" s="19" t="inlineStr">
        <is>
          <t>Prices</t>
        </is>
      </c>
      <c r="B231" s="35" t="inlineStr">
        <is>
          <t>Adult</t>
        </is>
      </c>
      <c r="E231" s="37" t="inlineStr">
        <is>
          <t>Child 2-12</t>
        </is>
      </c>
      <c r="H231" s="39" t="inlineStr">
        <is>
          <t>Infant 0-1</t>
        </is>
      </c>
      <c r="K231" s="25" t="inlineStr">
        <is>
          <t>01/11/2026</t>
        </is>
      </c>
      <c r="L231" s="10" t="inlineStr">
        <is>
          <t>min stay 3</t>
        </is>
      </c>
      <c r="M231" s="23" t="inlineStr">
        <is>
          <t>24/12/2026</t>
        </is>
      </c>
      <c r="N231" s="8" t="inlineStr">
        <is>
          <t>min stay 3</t>
        </is>
      </c>
      <c r="O231" s="24" t="inlineStr">
        <is>
          <t>02/01/2027</t>
        </is>
      </c>
      <c r="P231" s="9" t="inlineStr">
        <is>
          <t>min stay 3</t>
        </is>
      </c>
      <c r="Q231" s="25" t="inlineStr">
        <is>
          <t>30/01/2027</t>
        </is>
      </c>
      <c r="R231" s="10" t="inlineStr">
        <is>
          <t>min stay 3</t>
        </is>
      </c>
      <c r="S231" s="23" t="inlineStr">
        <is>
          <t>01/04/2027</t>
        </is>
      </c>
      <c r="T231" s="8" t="inlineStr">
        <is>
          <t>min stay 3</t>
        </is>
      </c>
      <c r="U231" s="24" t="inlineStr">
        <is>
          <t>01/05/2027</t>
        </is>
      </c>
      <c r="V231" s="9" t="inlineStr">
        <is>
          <t>min stay 3</t>
        </is>
      </c>
      <c r="W231" s="25" t="inlineStr">
        <is>
          <t>10/07/2027</t>
        </is>
      </c>
      <c r="X231" s="10" t="inlineStr">
        <is>
          <t>min stay 3</t>
        </is>
      </c>
      <c r="Y231" s="23" t="inlineStr">
        <is>
          <t>21/08/2027</t>
        </is>
      </c>
      <c r="Z231" s="8" t="inlineStr">
        <is>
          <t>min stay 3</t>
        </is>
      </c>
    </row>
    <row r="232">
      <c r="B232" s="5" t="n">
        <v>13</v>
      </c>
      <c r="C232" s="5" t="n">
        <v>150</v>
      </c>
      <c r="D232" s="5" t="n"/>
      <c r="E232" s="6" t="n">
        <v>2</v>
      </c>
      <c r="F232" s="6" t="n">
        <v>12</v>
      </c>
      <c r="G232" s="6" t="n"/>
      <c r="H232" s="7" t="n">
        <v>0</v>
      </c>
      <c r="I232" s="7" t="n">
        <v>1</v>
      </c>
      <c r="J232" s="7" t="n"/>
      <c r="K232" s="25" t="inlineStr">
        <is>
          <t>23/12/2026</t>
        </is>
      </c>
      <c r="L232" s="10" t="inlineStr">
        <is>
          <t>type Contract Rate</t>
        </is>
      </c>
      <c r="M232" s="23" t="inlineStr">
        <is>
          <t>01/01/2027</t>
        </is>
      </c>
      <c r="N232" s="8" t="inlineStr">
        <is>
          <t>type Contract Rate</t>
        </is>
      </c>
      <c r="O232" s="24" t="inlineStr">
        <is>
          <t>29/01/2027</t>
        </is>
      </c>
      <c r="P232" s="9" t="inlineStr">
        <is>
          <t>type Contract Rate</t>
        </is>
      </c>
      <c r="Q232" s="25" t="inlineStr">
        <is>
          <t>31/03/2027</t>
        </is>
      </c>
      <c r="R232" s="10" t="inlineStr">
        <is>
          <t>type Contract Rate</t>
        </is>
      </c>
      <c r="S232" s="23" t="inlineStr">
        <is>
          <t>30/04/2027</t>
        </is>
      </c>
      <c r="T232" s="8" t="inlineStr">
        <is>
          <t>type Contract Rate</t>
        </is>
      </c>
      <c r="U232" s="24" t="inlineStr">
        <is>
          <t>09/07/2027</t>
        </is>
      </c>
      <c r="V232" s="9" t="inlineStr">
        <is>
          <t>type Contract Rate</t>
        </is>
      </c>
      <c r="W232" s="25" t="inlineStr">
        <is>
          <t>20/08/2027</t>
        </is>
      </c>
      <c r="X232" s="10" t="inlineStr">
        <is>
          <t>type Contract Rate</t>
        </is>
      </c>
      <c r="Y232" s="23" t="inlineStr">
        <is>
          <t>31/10/2027</t>
        </is>
      </c>
      <c r="Z232" s="8" t="inlineStr">
        <is>
          <t>type Contract Rate</t>
        </is>
      </c>
    </row>
    <row r="233">
      <c r="B233" s="36" t="inlineStr">
        <is>
          <t>MB</t>
        </is>
      </c>
      <c r="C233" s="36" t="inlineStr">
        <is>
          <t>ExB</t>
        </is>
      </c>
      <c r="D233" s="36" t="inlineStr">
        <is>
          <t>W/oB</t>
        </is>
      </c>
      <c r="E233" s="38" t="inlineStr">
        <is>
          <t>MB</t>
        </is>
      </c>
      <c r="F233" s="38" t="inlineStr">
        <is>
          <t>ExB</t>
        </is>
      </c>
      <c r="G233" s="38" t="inlineStr">
        <is>
          <t>W/oB</t>
        </is>
      </c>
      <c r="H233" s="40" t="inlineStr">
        <is>
          <t>MB</t>
        </is>
      </c>
      <c r="I233" s="40" t="inlineStr">
        <is>
          <t>ExB</t>
        </is>
      </c>
      <c r="J233" s="40" t="inlineStr">
        <is>
          <t>W/oB</t>
        </is>
      </c>
      <c r="K233" s="10" t="inlineStr">
        <is>
          <t>All  Inclusive</t>
        </is>
      </c>
      <c r="M233" s="8" t="inlineStr">
        <is>
          <t>All  Inclusive</t>
        </is>
      </c>
      <c r="O233" s="9" t="inlineStr">
        <is>
          <t>All  Inclusive</t>
        </is>
      </c>
      <c r="Q233" s="10" t="inlineStr">
        <is>
          <t>All  Inclusive</t>
        </is>
      </c>
      <c r="S233" s="8" t="inlineStr">
        <is>
          <t>All  Inclusive</t>
        </is>
      </c>
      <c r="U233" s="9" t="inlineStr">
        <is>
          <t>All  Inclusive</t>
        </is>
      </c>
      <c r="W233" s="10" t="inlineStr">
        <is>
          <t>All  Inclusive</t>
        </is>
      </c>
      <c r="Y233" s="8" t="inlineStr">
        <is>
          <t>All  Inclusive</t>
        </is>
      </c>
    </row>
    <row r="234">
      <c r="A234" s="2" t="inlineStr">
        <is>
          <t>3A</t>
        </is>
      </c>
      <c r="B234" s="36" t="n">
        <v>3</v>
      </c>
      <c r="C234" s="36" t="n"/>
      <c r="D234" s="36" t="n"/>
      <c r="E234" s="38" t="n"/>
      <c r="F234" s="38" t="n"/>
      <c r="G234" s="38" t="n"/>
      <c r="H234" s="40" t="n"/>
      <c r="I234" s="40" t="n"/>
      <c r="J234" s="40" t="n"/>
      <c r="K234" s="10">
        <f t="array" ref="K234">SUM($B234:$J234*TRANSPOSE(K$221:K$229))</f>
        <v/>
      </c>
      <c r="M234" s="8">
        <f t="array" ref="M234">SUM($B234:$J234*TRANSPOSE(M$221:M$229))</f>
        <v/>
      </c>
      <c r="O234" s="9">
        <f t="array" ref="O234">SUM($B234:$J234*TRANSPOSE(O$221:O$229))</f>
        <v/>
      </c>
      <c r="Q234" s="10">
        <f t="array" ref="Q234">SUM($B234:$J234*TRANSPOSE(Q$221:Q$229))</f>
        <v/>
      </c>
      <c r="S234" s="8">
        <f t="array" ref="S234">SUM($B234:$J234*TRANSPOSE(S$221:S$229))</f>
        <v/>
      </c>
      <c r="U234" s="9">
        <f t="array" ref="U234">SUM($B234:$J234*TRANSPOSE(U$221:U$229))</f>
        <v/>
      </c>
      <c r="W234" s="10">
        <f t="array" ref="W234">SUM($B234:$J234*TRANSPOSE(W$221:W$229))</f>
        <v/>
      </c>
      <c r="Y234" s="8">
        <f t="array" ref="Y234">SUM($B234:$J234*TRANSPOSE(Y$221:Y$229))</f>
        <v/>
      </c>
    </row>
    <row r="235">
      <c r="A235" s="2" t="inlineStr">
        <is>
          <t>2A + 1C12</t>
        </is>
      </c>
      <c r="B235" s="36" t="n">
        <v>2</v>
      </c>
      <c r="C235" s="36" t="n"/>
      <c r="D235" s="36" t="n"/>
      <c r="E235" s="38" t="n">
        <v>1</v>
      </c>
      <c r="F235" s="38" t="n"/>
      <c r="G235" s="38" t="n"/>
      <c r="H235" s="40" t="n"/>
      <c r="I235" s="40" t="n"/>
      <c r="J235" s="40" t="n"/>
      <c r="K235" s="10">
        <f t="array" ref="K235">SUM($B235:$J235*TRANSPOSE(K$221:K$229))</f>
        <v/>
      </c>
      <c r="M235" s="8">
        <f t="array" ref="M235">SUM($B235:$J235*TRANSPOSE(M$221:M$229))</f>
        <v/>
      </c>
      <c r="O235" s="9">
        <f t="array" ref="O235">SUM($B235:$J235*TRANSPOSE(O$221:O$229))</f>
        <v/>
      </c>
      <c r="Q235" s="10">
        <f t="array" ref="Q235">SUM($B235:$J235*TRANSPOSE(Q$221:Q$229))</f>
        <v/>
      </c>
      <c r="S235" s="8">
        <f t="array" ref="S235">SUM($B235:$J235*TRANSPOSE(S$221:S$229))</f>
        <v/>
      </c>
      <c r="U235" s="9">
        <f t="array" ref="U235">SUM($B235:$J235*TRANSPOSE(U$221:U$229))</f>
        <v/>
      </c>
      <c r="W235" s="10">
        <f t="array" ref="W235">SUM($B235:$J235*TRANSPOSE(W$221:W$229))</f>
        <v/>
      </c>
      <c r="Y235" s="8">
        <f t="array" ref="Y235">SUM($B235:$J235*TRANSPOSE(Y$221:Y$229))</f>
        <v/>
      </c>
    </row>
    <row r="236">
      <c r="A236" s="2" t="inlineStr">
        <is>
          <t>3A + 1a</t>
        </is>
      </c>
      <c r="B236" s="36" t="n">
        <v>3</v>
      </c>
      <c r="C236" s="36" t="n">
        <v>1</v>
      </c>
      <c r="D236" s="36" t="n"/>
      <c r="E236" s="38" t="n"/>
      <c r="F236" s="38" t="n"/>
      <c r="G236" s="38" t="n"/>
      <c r="H236" s="40" t="n"/>
      <c r="I236" s="40" t="n"/>
      <c r="J236" s="40" t="n"/>
      <c r="K236" s="10">
        <f t="array" ref="K236">SUM($B236:$J236*TRANSPOSE(K$221:K$229))</f>
        <v/>
      </c>
      <c r="M236" s="8">
        <f t="array" ref="M236">SUM($B236:$J236*TRANSPOSE(M$221:M$229))</f>
        <v/>
      </c>
      <c r="O236" s="9">
        <f t="array" ref="O236">SUM($B236:$J236*TRANSPOSE(O$221:O$229))</f>
        <v/>
      </c>
      <c r="Q236" s="10">
        <f t="array" ref="Q236">SUM($B236:$J236*TRANSPOSE(Q$221:Q$229))</f>
        <v/>
      </c>
      <c r="S236" s="8">
        <f t="array" ref="S236">SUM($B236:$J236*TRANSPOSE(S$221:S$229))</f>
        <v/>
      </c>
      <c r="U236" s="9">
        <f t="array" ref="U236">SUM($B236:$J236*TRANSPOSE(U$221:U$229))</f>
        <v/>
      </c>
      <c r="W236" s="10">
        <f t="array" ref="W236">SUM($B236:$J236*TRANSPOSE(W$221:W$229))</f>
        <v/>
      </c>
      <c r="Y236" s="8">
        <f t="array" ref="Y236">SUM($B236:$J236*TRANSPOSE(Y$221:Y$229))</f>
        <v/>
      </c>
    </row>
    <row r="237">
      <c r="A237" s="2" t="inlineStr">
        <is>
          <t>2A + 1C12 + 1c12</t>
        </is>
      </c>
      <c r="B237" s="36" t="n">
        <v>2</v>
      </c>
      <c r="C237" s="36" t="n"/>
      <c r="D237" s="36" t="n"/>
      <c r="E237" s="38" t="n">
        <v>1</v>
      </c>
      <c r="F237" s="38" t="n">
        <v>1</v>
      </c>
      <c r="G237" s="38" t="n"/>
      <c r="H237" s="40" t="n"/>
      <c r="I237" s="40" t="n"/>
      <c r="J237" s="40" t="n"/>
      <c r="K237" s="10">
        <f t="array" ref="K237">SUM($B237:$J237*TRANSPOSE(K$221:K$229))</f>
        <v/>
      </c>
      <c r="M237" s="8">
        <f t="array" ref="M237">SUM($B237:$J237*TRANSPOSE(M$221:M$229))</f>
        <v/>
      </c>
      <c r="O237" s="9">
        <f t="array" ref="O237">SUM($B237:$J237*TRANSPOSE(O$221:O$229))</f>
        <v/>
      </c>
      <c r="Q237" s="10">
        <f t="array" ref="Q237">SUM($B237:$J237*TRANSPOSE(Q$221:Q$229))</f>
        <v/>
      </c>
      <c r="S237" s="8">
        <f t="array" ref="S237">SUM($B237:$J237*TRANSPOSE(S$221:S$229))</f>
        <v/>
      </c>
      <c r="U237" s="9">
        <f t="array" ref="U237">SUM($B237:$J237*TRANSPOSE(U$221:U$229))</f>
        <v/>
      </c>
      <c r="W237" s="10">
        <f t="array" ref="W237">SUM($B237:$J237*TRANSPOSE(W$221:W$229))</f>
        <v/>
      </c>
      <c r="Y237" s="8">
        <f t="array" ref="Y237">SUM($B237:$J237*TRANSPOSE(Y$221:Y$229))</f>
        <v/>
      </c>
    </row>
    <row r="238">
      <c r="A238" s="2" t="inlineStr">
        <is>
          <t>3A + 1c12</t>
        </is>
      </c>
      <c r="B238" s="36" t="n">
        <v>3</v>
      </c>
      <c r="C238" s="36" t="n"/>
      <c r="D238" s="36" t="n"/>
      <c r="E238" s="38" t="n"/>
      <c r="F238" s="38" t="n">
        <v>1</v>
      </c>
      <c r="G238" s="38" t="n"/>
      <c r="H238" s="40" t="n"/>
      <c r="I238" s="40" t="n"/>
      <c r="J238" s="40" t="n"/>
      <c r="K238" s="10">
        <f t="array" ref="K238">SUM($B238:$J238*TRANSPOSE(K$221:K$229))</f>
        <v/>
      </c>
      <c r="M238" s="8">
        <f t="array" ref="M238">SUM($B238:$J238*TRANSPOSE(M$221:M$229))</f>
        <v/>
      </c>
      <c r="O238" s="9">
        <f t="array" ref="O238">SUM($B238:$J238*TRANSPOSE(O$221:O$229))</f>
        <v/>
      </c>
      <c r="Q238" s="10">
        <f t="array" ref="Q238">SUM($B238:$J238*TRANSPOSE(Q$221:Q$229))</f>
        <v/>
      </c>
      <c r="S238" s="8">
        <f t="array" ref="S238">SUM($B238:$J238*TRANSPOSE(S$221:S$229))</f>
        <v/>
      </c>
      <c r="U238" s="9">
        <f t="array" ref="U238">SUM($B238:$J238*TRANSPOSE(U$221:U$229))</f>
        <v/>
      </c>
      <c r="W238" s="10">
        <f t="array" ref="W238">SUM($B238:$J238*TRANSPOSE(W$221:W$229))</f>
        <v/>
      </c>
      <c r="Y238" s="8">
        <f t="array" ref="Y238">SUM($B238:$J238*TRANSPOSE(Y$221:Y$229))</f>
        <v/>
      </c>
    </row>
    <row r="239">
      <c r="A239" s="2" t="inlineStr">
        <is>
          <t>3A + 1c1/</t>
        </is>
      </c>
      <c r="B239" s="36" t="n">
        <v>3</v>
      </c>
      <c r="C239" s="36" t="n"/>
      <c r="D239" s="36" t="n"/>
      <c r="E239" s="38" t="n"/>
      <c r="F239" s="38" t="n"/>
      <c r="G239" s="38" t="n"/>
      <c r="H239" s="40" t="n"/>
      <c r="I239" s="40" t="n"/>
      <c r="J239" s="40" t="n">
        <v>1</v>
      </c>
      <c r="K239" s="10">
        <f t="array" ref="K239">SUM($B239:$J239*TRANSPOSE(K$221:K$229))</f>
        <v/>
      </c>
      <c r="M239" s="8">
        <f t="array" ref="M239">SUM($B239:$J239*TRANSPOSE(M$221:M$229))</f>
        <v/>
      </c>
      <c r="O239" s="9">
        <f t="array" ref="O239">SUM($B239:$J239*TRANSPOSE(O$221:O$229))</f>
        <v/>
      </c>
      <c r="Q239" s="10">
        <f t="array" ref="Q239">SUM($B239:$J239*TRANSPOSE(Q$221:Q$229))</f>
        <v/>
      </c>
      <c r="S239" s="8">
        <f t="array" ref="S239">SUM($B239:$J239*TRANSPOSE(S$221:S$229))</f>
        <v/>
      </c>
      <c r="U239" s="9">
        <f t="array" ref="U239">SUM($B239:$J239*TRANSPOSE(U$221:U$229))</f>
        <v/>
      </c>
      <c r="W239" s="10">
        <f t="array" ref="W239">SUM($B239:$J239*TRANSPOSE(W$221:W$229))</f>
        <v/>
      </c>
      <c r="Y239" s="8">
        <f t="array" ref="Y239">SUM($B239:$J239*TRANSPOSE(Y$221:Y$229))</f>
        <v/>
      </c>
    </row>
    <row r="240">
      <c r="A240" s="2" t="inlineStr">
        <is>
          <t>2A + 1C12 + 1c1/</t>
        </is>
      </c>
      <c r="B240" s="36" t="n">
        <v>2</v>
      </c>
      <c r="C240" s="36" t="n"/>
      <c r="D240" s="36" t="n"/>
      <c r="E240" s="38" t="n">
        <v>1</v>
      </c>
      <c r="F240" s="38" t="n"/>
      <c r="G240" s="38" t="n"/>
      <c r="H240" s="40" t="n"/>
      <c r="I240" s="40" t="n"/>
      <c r="J240" s="40" t="n">
        <v>1</v>
      </c>
      <c r="K240" s="10">
        <f t="array" ref="K240">SUM($B240:$J240*TRANSPOSE(K$221:K$229))</f>
        <v/>
      </c>
      <c r="M240" s="8">
        <f t="array" ref="M240">SUM($B240:$J240*TRANSPOSE(M$221:M$229))</f>
        <v/>
      </c>
      <c r="O240" s="9">
        <f t="array" ref="O240">SUM($B240:$J240*TRANSPOSE(O$221:O$229))</f>
        <v/>
      </c>
      <c r="Q240" s="10">
        <f t="array" ref="Q240">SUM($B240:$J240*TRANSPOSE(Q$221:Q$229))</f>
        <v/>
      </c>
      <c r="S240" s="8">
        <f t="array" ref="S240">SUM($B240:$J240*TRANSPOSE(S$221:S$229))</f>
        <v/>
      </c>
      <c r="U240" s="9">
        <f t="array" ref="U240">SUM($B240:$J240*TRANSPOSE(U$221:U$229))</f>
        <v/>
      </c>
      <c r="W240" s="10">
        <f t="array" ref="W240">SUM($B240:$J240*TRANSPOSE(W$221:W$229))</f>
        <v/>
      </c>
      <c r="Y240" s="8">
        <f t="array" ref="Y240">SUM($B240:$J240*TRANSPOSE(Y$221:Y$229))</f>
        <v/>
      </c>
    </row>
    <row r="241">
      <c r="A241" s="2" t="inlineStr">
        <is>
          <t>3A + 2a</t>
        </is>
      </c>
      <c r="B241" s="36" t="n">
        <v>3</v>
      </c>
      <c r="C241" s="36" t="n">
        <v>2</v>
      </c>
      <c r="D241" s="36" t="n"/>
      <c r="E241" s="38" t="n"/>
      <c r="F241" s="38" t="n"/>
      <c r="G241" s="38" t="n"/>
      <c r="H241" s="40" t="n"/>
      <c r="I241" s="40" t="n"/>
      <c r="J241" s="40" t="n"/>
      <c r="K241" s="10">
        <f t="array" ref="K241">SUM($B241:$J241*TRANSPOSE(K$221:K$229))</f>
        <v/>
      </c>
      <c r="M241" s="8">
        <f t="array" ref="M241">SUM($B241:$J241*TRANSPOSE(M$221:M$229))</f>
        <v/>
      </c>
      <c r="O241" s="9">
        <f t="array" ref="O241">SUM($B241:$J241*TRANSPOSE(O$221:O$229))</f>
        <v/>
      </c>
      <c r="Q241" s="10">
        <f t="array" ref="Q241">SUM($B241:$J241*TRANSPOSE(Q$221:Q$229))</f>
        <v/>
      </c>
      <c r="S241" s="8">
        <f t="array" ref="S241">SUM($B241:$J241*TRANSPOSE(S$221:S$229))</f>
        <v/>
      </c>
      <c r="U241" s="9">
        <f t="array" ref="U241">SUM($B241:$J241*TRANSPOSE(U$221:U$229))</f>
        <v/>
      </c>
      <c r="W241" s="10">
        <f t="array" ref="W241">SUM($B241:$J241*TRANSPOSE(W$221:W$229))</f>
        <v/>
      </c>
      <c r="Y241" s="8">
        <f t="array" ref="Y241">SUM($B241:$J241*TRANSPOSE(Y$221:Y$229))</f>
        <v/>
      </c>
    </row>
    <row r="242">
      <c r="A242" s="2" t="inlineStr">
        <is>
          <t>2A + 1C12 + 2c12</t>
        </is>
      </c>
      <c r="B242" s="36" t="n">
        <v>2</v>
      </c>
      <c r="C242" s="36" t="n"/>
      <c r="D242" s="36" t="n"/>
      <c r="E242" s="38" t="n">
        <v>1</v>
      </c>
      <c r="F242" s="38" t="n">
        <v>2</v>
      </c>
      <c r="G242" s="38" t="n"/>
      <c r="H242" s="40" t="n"/>
      <c r="I242" s="40" t="n"/>
      <c r="J242" s="40" t="n"/>
      <c r="K242" s="10">
        <f t="array" ref="K242">SUM($B242:$J242*TRANSPOSE(K$221:K$229))</f>
        <v/>
      </c>
      <c r="M242" s="8">
        <f t="array" ref="M242">SUM($B242:$J242*TRANSPOSE(M$221:M$229))</f>
        <v/>
      </c>
      <c r="O242" s="9">
        <f t="array" ref="O242">SUM($B242:$J242*TRANSPOSE(O$221:O$229))</f>
        <v/>
      </c>
      <c r="Q242" s="10">
        <f t="array" ref="Q242">SUM($B242:$J242*TRANSPOSE(Q$221:Q$229))</f>
        <v/>
      </c>
      <c r="S242" s="8">
        <f t="array" ref="S242">SUM($B242:$J242*TRANSPOSE(S$221:S$229))</f>
        <v/>
      </c>
      <c r="U242" s="9">
        <f t="array" ref="U242">SUM($B242:$J242*TRANSPOSE(U$221:U$229))</f>
        <v/>
      </c>
      <c r="W242" s="10">
        <f t="array" ref="W242">SUM($B242:$J242*TRANSPOSE(W$221:W$229))</f>
        <v/>
      </c>
      <c r="Y242" s="8">
        <f t="array" ref="Y242">SUM($B242:$J242*TRANSPOSE(Y$221:Y$229))</f>
        <v/>
      </c>
    </row>
    <row r="243">
      <c r="A243" s="2" t="inlineStr">
        <is>
          <t>3A + 1a + 1c12</t>
        </is>
      </c>
      <c r="B243" s="36" t="n">
        <v>3</v>
      </c>
      <c r="C243" s="36" t="n">
        <v>1</v>
      </c>
      <c r="D243" s="36" t="n"/>
      <c r="E243" s="38" t="n"/>
      <c r="F243" s="38" t="n">
        <v>1</v>
      </c>
      <c r="G243" s="38" t="n"/>
      <c r="H243" s="40" t="n"/>
      <c r="I243" s="40" t="n"/>
      <c r="J243" s="40" t="n"/>
      <c r="K243" s="10">
        <f t="array" ref="K243">SUM($B243:$J243*TRANSPOSE(K$221:K$229))</f>
        <v/>
      </c>
      <c r="M243" s="8">
        <f t="array" ref="M243">SUM($B243:$J243*TRANSPOSE(M$221:M$229))</f>
        <v/>
      </c>
      <c r="O243" s="9">
        <f t="array" ref="O243">SUM($B243:$J243*TRANSPOSE(O$221:O$229))</f>
        <v/>
      </c>
      <c r="Q243" s="10">
        <f t="array" ref="Q243">SUM($B243:$J243*TRANSPOSE(Q$221:Q$229))</f>
        <v/>
      </c>
      <c r="S243" s="8">
        <f t="array" ref="S243">SUM($B243:$J243*TRANSPOSE(S$221:S$229))</f>
        <v/>
      </c>
      <c r="U243" s="9">
        <f t="array" ref="U243">SUM($B243:$J243*TRANSPOSE(U$221:U$229))</f>
        <v/>
      </c>
      <c r="W243" s="10">
        <f t="array" ref="W243">SUM($B243:$J243*TRANSPOSE(W$221:W$229))</f>
        <v/>
      </c>
      <c r="Y243" s="8">
        <f t="array" ref="Y243">SUM($B243:$J243*TRANSPOSE(Y$221:Y$229))</f>
        <v/>
      </c>
    </row>
    <row r="244">
      <c r="A244" s="2" t="inlineStr">
        <is>
          <t>3A + 1a + 1c1/</t>
        </is>
      </c>
      <c r="B244" s="36" t="n">
        <v>3</v>
      </c>
      <c r="C244" s="36" t="n">
        <v>1</v>
      </c>
      <c r="D244" s="36" t="n"/>
      <c r="E244" s="38" t="n"/>
      <c r="F244" s="38" t="n"/>
      <c r="G244" s="38" t="n"/>
      <c r="H244" s="40" t="n"/>
      <c r="I244" s="40" t="n"/>
      <c r="J244" s="40" t="n">
        <v>1</v>
      </c>
      <c r="K244" s="10">
        <f t="array" ref="K244">SUM($B244:$J244*TRANSPOSE(K$221:K$229))</f>
        <v/>
      </c>
      <c r="M244" s="8">
        <f t="array" ref="M244">SUM($B244:$J244*TRANSPOSE(M$221:M$229))</f>
        <v/>
      </c>
      <c r="O244" s="9">
        <f t="array" ref="O244">SUM($B244:$J244*TRANSPOSE(O$221:O$229))</f>
        <v/>
      </c>
      <c r="Q244" s="10">
        <f t="array" ref="Q244">SUM($B244:$J244*TRANSPOSE(Q$221:Q$229))</f>
        <v/>
      </c>
      <c r="S244" s="8">
        <f t="array" ref="S244">SUM($B244:$J244*TRANSPOSE(S$221:S$229))</f>
        <v/>
      </c>
      <c r="U244" s="9">
        <f t="array" ref="U244">SUM($B244:$J244*TRANSPOSE(U$221:U$229))</f>
        <v/>
      </c>
      <c r="W244" s="10">
        <f t="array" ref="W244">SUM($B244:$J244*TRANSPOSE(W$221:W$229))</f>
        <v/>
      </c>
      <c r="Y244" s="8">
        <f t="array" ref="Y244">SUM($B244:$J244*TRANSPOSE(Y$221:Y$229))</f>
        <v/>
      </c>
    </row>
    <row r="245">
      <c r="A245" s="2" t="inlineStr">
        <is>
          <t>3A + 2c12</t>
        </is>
      </c>
      <c r="B245" s="36" t="n">
        <v>3</v>
      </c>
      <c r="C245" s="36" t="n"/>
      <c r="D245" s="36" t="n"/>
      <c r="E245" s="38" t="n"/>
      <c r="F245" s="38" t="n">
        <v>2</v>
      </c>
      <c r="G245" s="38" t="n"/>
      <c r="H245" s="40" t="n"/>
      <c r="I245" s="40" t="n"/>
      <c r="J245" s="40" t="n"/>
      <c r="K245" s="10">
        <f t="array" ref="K245">SUM($B245:$J245*TRANSPOSE(K$221:K$229))</f>
        <v/>
      </c>
      <c r="M245" s="8">
        <f t="array" ref="M245">SUM($B245:$J245*TRANSPOSE(M$221:M$229))</f>
        <v/>
      </c>
      <c r="O245" s="9">
        <f t="array" ref="O245">SUM($B245:$J245*TRANSPOSE(O$221:O$229))</f>
        <v/>
      </c>
      <c r="Q245" s="10">
        <f t="array" ref="Q245">SUM($B245:$J245*TRANSPOSE(Q$221:Q$229))</f>
        <v/>
      </c>
      <c r="S245" s="8">
        <f t="array" ref="S245">SUM($B245:$J245*TRANSPOSE(S$221:S$229))</f>
        <v/>
      </c>
      <c r="U245" s="9">
        <f t="array" ref="U245">SUM($B245:$J245*TRANSPOSE(U$221:U$229))</f>
        <v/>
      </c>
      <c r="W245" s="10">
        <f t="array" ref="W245">SUM($B245:$J245*TRANSPOSE(W$221:W$229))</f>
        <v/>
      </c>
      <c r="Y245" s="8">
        <f t="array" ref="Y245">SUM($B245:$J245*TRANSPOSE(Y$221:Y$229))</f>
        <v/>
      </c>
    </row>
    <row r="246">
      <c r="A246" s="2" t="inlineStr">
        <is>
          <t>2A + 1C12 + 1c12 + 1c1/</t>
        </is>
      </c>
      <c r="B246" s="36" t="n">
        <v>2</v>
      </c>
      <c r="C246" s="36" t="n"/>
      <c r="D246" s="36" t="n"/>
      <c r="E246" s="38" t="n">
        <v>1</v>
      </c>
      <c r="F246" s="38" t="n">
        <v>1</v>
      </c>
      <c r="G246" s="38" t="n"/>
      <c r="H246" s="40" t="n"/>
      <c r="I246" s="40" t="n"/>
      <c r="J246" s="40" t="n">
        <v>1</v>
      </c>
      <c r="K246" s="10">
        <f t="array" ref="K246">SUM($B246:$J246*TRANSPOSE(K$221:K$229))</f>
        <v/>
      </c>
      <c r="M246" s="8">
        <f t="array" ref="M246">SUM($B246:$J246*TRANSPOSE(M$221:M$229))</f>
        <v/>
      </c>
      <c r="O246" s="9">
        <f t="array" ref="O246">SUM($B246:$J246*TRANSPOSE(O$221:O$229))</f>
        <v/>
      </c>
      <c r="Q246" s="10">
        <f t="array" ref="Q246">SUM($B246:$J246*TRANSPOSE(Q$221:Q$229))</f>
        <v/>
      </c>
      <c r="S246" s="8">
        <f t="array" ref="S246">SUM($B246:$J246*TRANSPOSE(S$221:S$229))</f>
        <v/>
      </c>
      <c r="U246" s="9">
        <f t="array" ref="U246">SUM($B246:$J246*TRANSPOSE(U$221:U$229))</f>
        <v/>
      </c>
      <c r="W246" s="10">
        <f t="array" ref="W246">SUM($B246:$J246*TRANSPOSE(W$221:W$229))</f>
        <v/>
      </c>
      <c r="Y246" s="8">
        <f t="array" ref="Y246">SUM($B246:$J246*TRANSPOSE(Y$221:Y$229))</f>
        <v/>
      </c>
    </row>
    <row r="247">
      <c r="A247" s="2" t="inlineStr">
        <is>
          <t>3A + 1c12 + 1c1/</t>
        </is>
      </c>
      <c r="B247" s="36" t="n">
        <v>3</v>
      </c>
      <c r="C247" s="36" t="n"/>
      <c r="D247" s="36" t="n"/>
      <c r="E247" s="38" t="n"/>
      <c r="F247" s="38" t="n">
        <v>1</v>
      </c>
      <c r="G247" s="38" t="n"/>
      <c r="H247" s="40" t="n"/>
      <c r="I247" s="40" t="n"/>
      <c r="J247" s="40" t="n">
        <v>1</v>
      </c>
      <c r="K247" s="10">
        <f t="array" ref="K247">SUM($B247:$J247*TRANSPOSE(K$221:K$229))</f>
        <v/>
      </c>
      <c r="M247" s="8">
        <f t="array" ref="M247">SUM($B247:$J247*TRANSPOSE(M$221:M$229))</f>
        <v/>
      </c>
      <c r="O247" s="9">
        <f t="array" ref="O247">SUM($B247:$J247*TRANSPOSE(O$221:O$229))</f>
        <v/>
      </c>
      <c r="Q247" s="10">
        <f t="array" ref="Q247">SUM($B247:$J247*TRANSPOSE(Q$221:Q$229))</f>
        <v/>
      </c>
      <c r="S247" s="8">
        <f t="array" ref="S247">SUM($B247:$J247*TRANSPOSE(S$221:S$229))</f>
        <v/>
      </c>
      <c r="U247" s="9">
        <f t="array" ref="U247">SUM($B247:$J247*TRANSPOSE(U$221:U$229))</f>
        <v/>
      </c>
      <c r="W247" s="10">
        <f t="array" ref="W247">SUM($B247:$J247*TRANSPOSE(W$221:W$229))</f>
        <v/>
      </c>
      <c r="Y247" s="8">
        <f t="array" ref="Y247">SUM($B247:$J247*TRANSPOSE(Y$221:Y$229))</f>
        <v/>
      </c>
    </row>
    <row r="248">
      <c r="A248" s="2" t="inlineStr">
        <is>
          <t>2A + 1C12 + 3c12</t>
        </is>
      </c>
      <c r="B248" s="36" t="n">
        <v>2</v>
      </c>
      <c r="C248" s="36" t="n"/>
      <c r="D248" s="36" t="n"/>
      <c r="E248" s="38" t="n">
        <v>1</v>
      </c>
      <c r="F248" s="38" t="n">
        <v>3</v>
      </c>
      <c r="G248" s="38" t="n"/>
      <c r="H248" s="40" t="n"/>
      <c r="I248" s="40" t="n"/>
      <c r="J248" s="40" t="n"/>
      <c r="K248" s="10">
        <f t="array" ref="K248">SUM($B248:$J248*TRANSPOSE(K$221:K$229))</f>
        <v/>
      </c>
      <c r="M248" s="8">
        <f t="array" ref="M248">SUM($B248:$J248*TRANSPOSE(M$221:M$229))</f>
        <v/>
      </c>
      <c r="O248" s="9">
        <f t="array" ref="O248">SUM($B248:$J248*TRANSPOSE(O$221:O$229))</f>
        <v/>
      </c>
      <c r="Q248" s="10">
        <f t="array" ref="Q248">SUM($B248:$J248*TRANSPOSE(Q$221:Q$229))</f>
        <v/>
      </c>
      <c r="S248" s="8">
        <f t="array" ref="S248">SUM($B248:$J248*TRANSPOSE(S$221:S$229))</f>
        <v/>
      </c>
      <c r="U248" s="9">
        <f t="array" ref="U248">SUM($B248:$J248*TRANSPOSE(U$221:U$229))</f>
        <v/>
      </c>
      <c r="W248" s="10">
        <f t="array" ref="W248">SUM($B248:$J248*TRANSPOSE(W$221:W$229))</f>
        <v/>
      </c>
      <c r="Y248" s="8">
        <f t="array" ref="Y248">SUM($B248:$J248*TRANSPOSE(Y$221:Y$229))</f>
        <v/>
      </c>
    </row>
    <row r="249">
      <c r="A249" s="2" t="inlineStr">
        <is>
          <t>3A + 2a + 1c12</t>
        </is>
      </c>
      <c r="B249" s="36" t="n">
        <v>3</v>
      </c>
      <c r="C249" s="36" t="n">
        <v>2</v>
      </c>
      <c r="D249" s="36" t="n"/>
      <c r="E249" s="38" t="n"/>
      <c r="F249" s="38" t="n">
        <v>1</v>
      </c>
      <c r="G249" s="38" t="n"/>
      <c r="H249" s="40" t="n"/>
      <c r="I249" s="40" t="n"/>
      <c r="J249" s="40" t="n"/>
      <c r="K249" s="10">
        <f t="array" ref="K249">SUM($B249:$J249*TRANSPOSE(K$221:K$229))</f>
        <v/>
      </c>
      <c r="M249" s="8">
        <f t="array" ref="M249">SUM($B249:$J249*TRANSPOSE(M$221:M$229))</f>
        <v/>
      </c>
      <c r="O249" s="9">
        <f t="array" ref="O249">SUM($B249:$J249*TRANSPOSE(O$221:O$229))</f>
        <v/>
      </c>
      <c r="Q249" s="10">
        <f t="array" ref="Q249">SUM($B249:$J249*TRANSPOSE(Q$221:Q$229))</f>
        <v/>
      </c>
      <c r="S249" s="8">
        <f t="array" ref="S249">SUM($B249:$J249*TRANSPOSE(S$221:S$229))</f>
        <v/>
      </c>
      <c r="U249" s="9">
        <f t="array" ref="U249">SUM($B249:$J249*TRANSPOSE(U$221:U$229))</f>
        <v/>
      </c>
      <c r="W249" s="10">
        <f t="array" ref="W249">SUM($B249:$J249*TRANSPOSE(W$221:W$229))</f>
        <v/>
      </c>
      <c r="Y249" s="8">
        <f t="array" ref="Y249">SUM($B249:$J249*TRANSPOSE(Y$221:Y$229))</f>
        <v/>
      </c>
    </row>
    <row r="250">
      <c r="A250" s="2" t="inlineStr">
        <is>
          <t>3A + 2a + 1c1/</t>
        </is>
      </c>
      <c r="B250" s="36" t="n">
        <v>3</v>
      </c>
      <c r="C250" s="36" t="n">
        <v>2</v>
      </c>
      <c r="D250" s="36" t="n"/>
      <c r="E250" s="38" t="n"/>
      <c r="F250" s="38" t="n"/>
      <c r="G250" s="38" t="n"/>
      <c r="H250" s="40" t="n"/>
      <c r="I250" s="40" t="n"/>
      <c r="J250" s="40" t="n">
        <v>1</v>
      </c>
      <c r="K250" s="10">
        <f t="array" ref="K250">SUM($B250:$J250*TRANSPOSE(K$221:K$229))</f>
        <v/>
      </c>
      <c r="M250" s="8">
        <f t="array" ref="M250">SUM($B250:$J250*TRANSPOSE(M$221:M$229))</f>
        <v/>
      </c>
      <c r="O250" s="9">
        <f t="array" ref="O250">SUM($B250:$J250*TRANSPOSE(O$221:O$229))</f>
        <v/>
      </c>
      <c r="Q250" s="10">
        <f t="array" ref="Q250">SUM($B250:$J250*TRANSPOSE(Q$221:Q$229))</f>
        <v/>
      </c>
      <c r="S250" s="8">
        <f t="array" ref="S250">SUM($B250:$J250*TRANSPOSE(S$221:S$229))</f>
        <v/>
      </c>
      <c r="U250" s="9">
        <f t="array" ref="U250">SUM($B250:$J250*TRANSPOSE(U$221:U$229))</f>
        <v/>
      </c>
      <c r="W250" s="10">
        <f t="array" ref="W250">SUM($B250:$J250*TRANSPOSE(W$221:W$229))</f>
        <v/>
      </c>
      <c r="Y250" s="8">
        <f t="array" ref="Y250">SUM($B250:$J250*TRANSPOSE(Y$221:Y$229))</f>
        <v/>
      </c>
    </row>
    <row r="251">
      <c r="A251" s="2" t="inlineStr">
        <is>
          <t>3A + 1a + 2c12</t>
        </is>
      </c>
      <c r="B251" s="36" t="n">
        <v>3</v>
      </c>
      <c r="C251" s="36" t="n">
        <v>1</v>
      </c>
      <c r="D251" s="36" t="n"/>
      <c r="E251" s="38" t="n"/>
      <c r="F251" s="38" t="n">
        <v>2</v>
      </c>
      <c r="G251" s="38" t="n"/>
      <c r="H251" s="40" t="n"/>
      <c r="I251" s="40" t="n"/>
      <c r="J251" s="40" t="n"/>
      <c r="K251" s="10">
        <f t="array" ref="K251">SUM($B251:$J251*TRANSPOSE(K$221:K$229))</f>
        <v/>
      </c>
      <c r="M251" s="8">
        <f t="array" ref="M251">SUM($B251:$J251*TRANSPOSE(M$221:M$229))</f>
        <v/>
      </c>
      <c r="O251" s="9">
        <f t="array" ref="O251">SUM($B251:$J251*TRANSPOSE(O$221:O$229))</f>
        <v/>
      </c>
      <c r="Q251" s="10">
        <f t="array" ref="Q251">SUM($B251:$J251*TRANSPOSE(Q$221:Q$229))</f>
        <v/>
      </c>
      <c r="S251" s="8">
        <f t="array" ref="S251">SUM($B251:$J251*TRANSPOSE(S$221:S$229))</f>
        <v/>
      </c>
      <c r="U251" s="9">
        <f t="array" ref="U251">SUM($B251:$J251*TRANSPOSE(U$221:U$229))</f>
        <v/>
      </c>
      <c r="W251" s="10">
        <f t="array" ref="W251">SUM($B251:$J251*TRANSPOSE(W$221:W$229))</f>
        <v/>
      </c>
      <c r="Y251" s="8">
        <f t="array" ref="Y251">SUM($B251:$J251*TRANSPOSE(Y$221:Y$229))</f>
        <v/>
      </c>
    </row>
    <row r="252">
      <c r="A252" s="2" t="inlineStr">
        <is>
          <t>3A + 3c12</t>
        </is>
      </c>
      <c r="B252" s="36" t="n">
        <v>3</v>
      </c>
      <c r="C252" s="36" t="n"/>
      <c r="D252" s="36" t="n"/>
      <c r="E252" s="38" t="n"/>
      <c r="F252" s="38" t="n">
        <v>3</v>
      </c>
      <c r="G252" s="38" t="n"/>
      <c r="H252" s="40" t="n"/>
      <c r="I252" s="40" t="n"/>
      <c r="J252" s="40" t="n"/>
      <c r="K252" s="10">
        <f t="array" ref="K252">SUM($B252:$J252*TRANSPOSE(K$221:K$229))</f>
        <v/>
      </c>
      <c r="M252" s="8">
        <f t="array" ref="M252">SUM($B252:$J252*TRANSPOSE(M$221:M$229))</f>
        <v/>
      </c>
      <c r="O252" s="9">
        <f t="array" ref="O252">SUM($B252:$J252*TRANSPOSE(O$221:O$229))</f>
        <v/>
      </c>
      <c r="Q252" s="10">
        <f t="array" ref="Q252">SUM($B252:$J252*TRANSPOSE(Q$221:Q$229))</f>
        <v/>
      </c>
      <c r="S252" s="8">
        <f t="array" ref="S252">SUM($B252:$J252*TRANSPOSE(S$221:S$229))</f>
        <v/>
      </c>
      <c r="U252" s="9">
        <f t="array" ref="U252">SUM($B252:$J252*TRANSPOSE(U$221:U$229))</f>
        <v/>
      </c>
      <c r="W252" s="10">
        <f t="array" ref="W252">SUM($B252:$J252*TRANSPOSE(W$221:W$229))</f>
        <v/>
      </c>
      <c r="Y252" s="8">
        <f t="array" ref="Y252">SUM($B252:$J252*TRANSPOSE(Y$221:Y$229))</f>
        <v/>
      </c>
    </row>
    <row r="253">
      <c r="A253" s="2" t="inlineStr">
        <is>
          <t>2A + 1C12 + 2c12 + 1c1/</t>
        </is>
      </c>
      <c r="B253" s="36" t="n">
        <v>2</v>
      </c>
      <c r="C253" s="36" t="n"/>
      <c r="D253" s="36" t="n"/>
      <c r="E253" s="38" t="n">
        <v>1</v>
      </c>
      <c r="F253" s="38" t="n">
        <v>2</v>
      </c>
      <c r="G253" s="38" t="n"/>
      <c r="H253" s="40" t="n"/>
      <c r="I253" s="40" t="n"/>
      <c r="J253" s="40" t="n">
        <v>1</v>
      </c>
      <c r="K253" s="10">
        <f t="array" ref="K253">SUM($B253:$J253*TRANSPOSE(K$221:K$229))</f>
        <v/>
      </c>
      <c r="M253" s="8">
        <f t="array" ref="M253">SUM($B253:$J253*TRANSPOSE(M$221:M$229))</f>
        <v/>
      </c>
      <c r="O253" s="9">
        <f t="array" ref="O253">SUM($B253:$J253*TRANSPOSE(O$221:O$229))</f>
        <v/>
      </c>
      <c r="Q253" s="10">
        <f t="array" ref="Q253">SUM($B253:$J253*TRANSPOSE(Q$221:Q$229))</f>
        <v/>
      </c>
      <c r="S253" s="8">
        <f t="array" ref="S253">SUM($B253:$J253*TRANSPOSE(S$221:S$229))</f>
        <v/>
      </c>
      <c r="U253" s="9">
        <f t="array" ref="U253">SUM($B253:$J253*TRANSPOSE(U$221:U$229))</f>
        <v/>
      </c>
      <c r="W253" s="10">
        <f t="array" ref="W253">SUM($B253:$J253*TRANSPOSE(W$221:W$229))</f>
        <v/>
      </c>
      <c r="Y253" s="8">
        <f t="array" ref="Y253">SUM($B253:$J253*TRANSPOSE(Y$221:Y$229))</f>
        <v/>
      </c>
    </row>
    <row r="254">
      <c r="A254" s="2" t="inlineStr">
        <is>
          <t>3A + 1a + 1c12 + 1c1/</t>
        </is>
      </c>
      <c r="B254" s="36" t="n">
        <v>3</v>
      </c>
      <c r="C254" s="36" t="n">
        <v>1</v>
      </c>
      <c r="D254" s="36" t="n"/>
      <c r="E254" s="38" t="n"/>
      <c r="F254" s="38" t="n">
        <v>1</v>
      </c>
      <c r="G254" s="38" t="n"/>
      <c r="H254" s="40" t="n"/>
      <c r="I254" s="40" t="n"/>
      <c r="J254" s="40" t="n">
        <v>1</v>
      </c>
      <c r="K254" s="10">
        <f t="array" ref="K254">SUM($B254:$J254*TRANSPOSE(K$221:K$229))</f>
        <v/>
      </c>
      <c r="M254" s="8">
        <f t="array" ref="M254">SUM($B254:$J254*TRANSPOSE(M$221:M$229))</f>
        <v/>
      </c>
      <c r="O254" s="9">
        <f t="array" ref="O254">SUM($B254:$J254*TRANSPOSE(O$221:O$229))</f>
        <v/>
      </c>
      <c r="Q254" s="10">
        <f t="array" ref="Q254">SUM($B254:$J254*TRANSPOSE(Q$221:Q$229))</f>
        <v/>
      </c>
      <c r="S254" s="8">
        <f t="array" ref="S254">SUM($B254:$J254*TRANSPOSE(S$221:S$229))</f>
        <v/>
      </c>
      <c r="U254" s="9">
        <f t="array" ref="U254">SUM($B254:$J254*TRANSPOSE(U$221:U$229))</f>
        <v/>
      </c>
      <c r="W254" s="10">
        <f t="array" ref="W254">SUM($B254:$J254*TRANSPOSE(W$221:W$229))</f>
        <v/>
      </c>
      <c r="Y254" s="8">
        <f t="array" ref="Y254">SUM($B254:$J254*TRANSPOSE(Y$221:Y$229))</f>
        <v/>
      </c>
    </row>
    <row r="255">
      <c r="A255" s="2" t="inlineStr">
        <is>
          <t>3A + 2c12 + 1c1/</t>
        </is>
      </c>
      <c r="B255" s="36" t="n">
        <v>3</v>
      </c>
      <c r="C255" s="36" t="n"/>
      <c r="D255" s="36" t="n"/>
      <c r="E255" s="38" t="n"/>
      <c r="F255" s="38" t="n">
        <v>2</v>
      </c>
      <c r="G255" s="38" t="n"/>
      <c r="H255" s="40" t="n"/>
      <c r="I255" s="40" t="n"/>
      <c r="J255" s="40" t="n">
        <v>1</v>
      </c>
      <c r="K255" s="10">
        <f t="array" ref="K255">SUM($B255:$J255*TRANSPOSE(K$221:K$229))</f>
        <v/>
      </c>
      <c r="M255" s="8">
        <f t="array" ref="M255">SUM($B255:$J255*TRANSPOSE(M$221:M$229))</f>
        <v/>
      </c>
      <c r="O255" s="9">
        <f t="array" ref="O255">SUM($B255:$J255*TRANSPOSE(O$221:O$229))</f>
        <v/>
      </c>
      <c r="Q255" s="10">
        <f t="array" ref="Q255">SUM($B255:$J255*TRANSPOSE(Q$221:Q$229))</f>
        <v/>
      </c>
      <c r="S255" s="8">
        <f t="array" ref="S255">SUM($B255:$J255*TRANSPOSE(S$221:S$229))</f>
        <v/>
      </c>
      <c r="U255" s="9">
        <f t="array" ref="U255">SUM($B255:$J255*TRANSPOSE(U$221:U$229))</f>
        <v/>
      </c>
      <c r="W255" s="10">
        <f t="array" ref="W255">SUM($B255:$J255*TRANSPOSE(W$221:W$229))</f>
        <v/>
      </c>
      <c r="Y255" s="8">
        <f t="array" ref="Y255">SUM($B255:$J255*TRANSPOSE(Y$221:Y$229))</f>
        <v/>
      </c>
    </row>
  </sheetData>
  <mergeCells count="30">
    <mergeCell ref="B231:D231"/>
    <mergeCell ref="B57:D57"/>
    <mergeCell ref="B17:D17"/>
    <mergeCell ref="H17:J17"/>
    <mergeCell ref="H138:J138"/>
    <mergeCell ref="E77:G77"/>
    <mergeCell ref="B37:D37"/>
    <mergeCell ref="H159:J159"/>
    <mergeCell ref="H57:J57"/>
    <mergeCell ref="H37:J37"/>
    <mergeCell ref="E57:G57"/>
    <mergeCell ref="H77:J77"/>
    <mergeCell ref="H195:J195"/>
    <mergeCell ref="E159:G159"/>
    <mergeCell ref="E97:G97"/>
    <mergeCell ref="E231:G231"/>
    <mergeCell ref="E37:G37"/>
    <mergeCell ref="B97:D97"/>
    <mergeCell ref="H97:J97"/>
    <mergeCell ref="B138:D138"/>
    <mergeCell ref="H231:J231"/>
    <mergeCell ref="E117:G117"/>
    <mergeCell ref="E195:G195"/>
    <mergeCell ref="B159:D159"/>
    <mergeCell ref="E17:G17"/>
    <mergeCell ref="B77:D77"/>
    <mergeCell ref="E138:G138"/>
    <mergeCell ref="B117:D117"/>
    <mergeCell ref="H117:J117"/>
    <mergeCell ref="B195:D19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TravelNET</dc:creator>
  <dc:title>Riu Ventura</dc:title>
  <dc:subject>Price import</dc:subject>
  <dcterms:created xsi:type="dcterms:W3CDTF">2026-07-15T11:25:37Z</dcterms:created>
  <dcterms:modified xsi:type="dcterms:W3CDTF">2026-07-23T23:30:45Z</dcterms:modified>
  <cp:lastModifiedBy>Office</cp:lastModifiedBy>
</cp:coreProperties>
</file>